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"/>
    </mc:Choice>
  </mc:AlternateContent>
  <xr:revisionPtr revIDLastSave="0" documentId="13_ncr:1_{F62C340A-3405-4094-9DE4-36AEC4D8149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2" r:id="rId1"/>
    <sheet name="Excel_type" sheetId="1" r:id="rId2"/>
  </sheets>
  <definedNames>
    <definedName name="_xlnm._FilterDatabase" localSheetId="1" hidden="1">Excel_type!$A$1:$T$48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" l="1"/>
  <c r="G24" i="1" l="1"/>
  <c r="G50" i="1" s="1"/>
  <c r="G51" i="1" s="1"/>
</calcChain>
</file>

<file path=xl/sharedStrings.xml><?xml version="1.0" encoding="utf-8"?>
<sst xmlns="http://schemas.openxmlformats.org/spreadsheetml/2006/main" count="832" uniqueCount="342">
  <si>
    <t>Axes</t>
  </si>
  <si>
    <t>Statut</t>
  </si>
  <si>
    <t>Type de mobilité</t>
  </si>
  <si>
    <t>Implication projets</t>
  </si>
  <si>
    <t>Pays de destination</t>
  </si>
  <si>
    <t>Projets en lien</t>
  </si>
  <si>
    <t>Titre projet</t>
  </si>
  <si>
    <t>Explication</t>
  </si>
  <si>
    <t>Nom de la colonne</t>
  </si>
  <si>
    <t>Axes en lien avec le projet de mobilité</t>
  </si>
  <si>
    <t>Séparer les numéros d'axe par des " ; "</t>
  </si>
  <si>
    <t>Explication et demande par colonne :</t>
  </si>
  <si>
    <t>Financement demandé / obtenus (en €)</t>
  </si>
  <si>
    <t>Financement demandé / obtenus par le candidat lors de demandes / des lauréats (en €)</t>
  </si>
  <si>
    <t>Demande spécifique lors du remplissage</t>
  </si>
  <si>
    <t>Mobilité "sortante" ou "entrante"</t>
  </si>
  <si>
    <t>Durée de la mobilité (en mois)</t>
  </si>
  <si>
    <t>Si ça ne tombe pas sur un nombre exacte de mois, mettre 0,5 pour 2 semaines par exemple</t>
  </si>
  <si>
    <t>Durée de la mobilité du candidat en nombre de mois</t>
  </si>
  <si>
    <t>Implication ou pas du candidat dans un projet scientifique du PEPR</t>
  </si>
  <si>
    <t>Projets en lien avec la mobilité du candidat</t>
  </si>
  <si>
    <t>Pays de destination du candidat dans le cas d'une mobilité sortante</t>
  </si>
  <si>
    <t>- Mettre "Non" s'il n'y a pas d'implication. Si il y a une implication, comme elle peut être multiple, mettre "Projet1" ou "Projet1 ; Projet2"
- Il faut aussi la liste de tous les projets qui auraient pu être impliqués à donner à part sur email</t>
  </si>
  <si>
    <t>Statut du candidat</t>
  </si>
  <si>
    <r>
      <rPr>
        <u/>
        <sz val="11"/>
        <color theme="1"/>
        <rFont val="Calibri"/>
        <family val="2"/>
        <scheme val="minor"/>
      </rPr>
      <t>Statuts :</t>
    </r>
    <r>
      <rPr>
        <sz val="11"/>
        <color theme="1"/>
        <rFont val="Calibri"/>
        <family val="2"/>
        <scheme val="minor"/>
      </rPr>
      <t xml:space="preserve"> doctorant.e ; post-doctorant.e ; ingénieur.e CDD ; poste permanent ; Prof. CPJ</t>
    </r>
  </si>
  <si>
    <r>
      <t xml:space="preserve">Titre : </t>
    </r>
    <r>
      <rPr>
        <sz val="11"/>
        <color rgb="FFFF0000"/>
        <rFont val="Calibri"/>
        <family val="2"/>
        <scheme val="minor"/>
      </rPr>
      <t>Excel type pour les études statistiques des mobilités internationales des PEPR</t>
    </r>
  </si>
  <si>
    <r>
      <t xml:space="preserve">Date : </t>
    </r>
    <r>
      <rPr>
        <sz val="11"/>
        <color rgb="FFFF0000"/>
        <rFont val="Calibri"/>
        <family val="2"/>
        <scheme val="minor"/>
      </rPr>
      <t>2024_11_22</t>
    </r>
  </si>
  <si>
    <r>
      <t xml:space="preserve">Auteur : </t>
    </r>
    <r>
      <rPr>
        <sz val="11"/>
        <color rgb="FFFF0000"/>
        <rFont val="Calibri"/>
        <family val="2"/>
        <scheme val="minor"/>
      </rPr>
      <t>Marie Joigneau (INRAE, US 1502 - Unité de Service d'Appui aux PEPR)</t>
    </r>
  </si>
  <si>
    <t>Identifiant</t>
  </si>
  <si>
    <t>Identifiant du candidat</t>
  </si>
  <si>
    <t>Mettre un numéro ou simplement nom prénom selon les normes RGPD. Cela permet simplement de les identifier mais leur noms n'apparaitront pas sur les analyses</t>
  </si>
  <si>
    <t>Titre du projet du candidat</t>
  </si>
  <si>
    <t>Tous les titres doivent être dans la même langue</t>
  </si>
  <si>
    <t>AAP#1</t>
  </si>
  <si>
    <t>AAP#2</t>
  </si>
  <si>
    <t>Scénarios d’intensification durable de l’agriculture à l’échelle de l’UE</t>
  </si>
  <si>
    <t>Broad-scale study of drivers affecting spatial variation of rhizosphere priming effect in European croplands.</t>
  </si>
  <si>
    <t>Eliciter les préférences des agriculteurs pour les instruments de régulation de la pollution en nitrate</t>
  </si>
  <si>
    <t>Harter Ludovic</t>
  </si>
  <si>
    <t>Fouché Julien</t>
  </si>
  <si>
    <t>Breil Nicolas</t>
  </si>
  <si>
    <t>Stutzmann Charlotte</t>
  </si>
  <si>
    <t>Dambrine Etienne</t>
  </si>
  <si>
    <t>sortante</t>
  </si>
  <si>
    <t>doctorant.e</t>
  </si>
  <si>
    <t>poste permanent</t>
  </si>
  <si>
    <t>post-doctorant.e</t>
  </si>
  <si>
    <t>ingénieur.e CDD</t>
  </si>
  <si>
    <t>SNU - Stocks de NUtriments dans le pergélisol canadien</t>
  </si>
  <si>
    <t>DEPOLYMERISE - Transfert de techniques analytiques pour la détermination de la dépolymérisation microbienne des protéines et interprétation des données</t>
  </si>
  <si>
    <t>CaLaMe - Flux de CArbone associés aux Lacs Méditérranéens</t>
  </si>
  <si>
    <t>Effets de la dégradation du pergélisol sur la dynamique des cycles biogéochimiques des tourbières à mares subarctiques</t>
  </si>
  <si>
    <t>Étude de la séquestration du carbone organique dans les grands réservoirs à l’est du Québec : estimation, facteurs de contrôle et interactions avec la biodiversité.</t>
  </si>
  <si>
    <t>Fjord carbon cycling: new ramped pyrolysis measurements on Patagonian fjord samples</t>
  </si>
  <si>
    <t>ECHOES - REgulation of CO2 and CH4 fluxes by macrOphytE growth formS</t>
  </si>
  <si>
    <t>PRISMARCTYC - Rôle des micro-organismes dans les flux de gaz à effet de serre des zones humides formées par la dégradation du pergélisol dans l'Arctique</t>
  </si>
  <si>
    <t>CARBONMANG - Carbon and nutrient bidimensional processes in mangrove sediments</t>
  </si>
  <si>
    <t>Benelli Sara</t>
  </si>
  <si>
    <t>Frison Justine</t>
  </si>
  <si>
    <t>Szylit Arthur</t>
  </si>
  <si>
    <t>Hage Sophie</t>
  </si>
  <si>
    <t>Cavalcante Silva Matheus</t>
  </si>
  <si>
    <t>Arsenault Julien</t>
  </si>
  <si>
    <t>REMARQUES</t>
  </si>
  <si>
    <t>ENTRANTE</t>
  </si>
  <si>
    <t>2;3</t>
  </si>
  <si>
    <t>1;2</t>
  </si>
  <si>
    <t>SLAM-B</t>
  </si>
  <si>
    <t>PEACE</t>
  </si>
  <si>
    <t>Aucun</t>
  </si>
  <si>
    <t>CANETE</t>
  </si>
  <si>
    <t>CarboNium;DEEP-C</t>
  </si>
  <si>
    <t>CarboNium;CANETE;PEACE</t>
  </si>
  <si>
    <t>Non</t>
  </si>
  <si>
    <t>DEEP-C</t>
  </si>
  <si>
    <t>Suède</t>
  </si>
  <si>
    <t>Canada</t>
  </si>
  <si>
    <t>Allemagne</t>
  </si>
  <si>
    <t>Autriche</t>
  </si>
  <si>
    <t>Espagne</t>
  </si>
  <si>
    <t>Belgique</t>
  </si>
  <si>
    <t>Italie</t>
  </si>
  <si>
    <t>Etats-Unis</t>
  </si>
  <si>
    <t>Ecosse</t>
  </si>
  <si>
    <t>TROPECOS</t>
  </si>
  <si>
    <t>Brésil</t>
  </si>
  <si>
    <t>Diedhiou Moussa</t>
  </si>
  <si>
    <t>Richelle Lola</t>
  </si>
  <si>
    <t>Sénégal</t>
  </si>
  <si>
    <t>ALAMOD</t>
  </si>
  <si>
    <t>3;4</t>
  </si>
  <si>
    <t>stock-sahel - Estimation par lidar du stockage de carbone dans la biomasse aérienne des arbres en système agroforestier Sahélien</t>
  </si>
  <si>
    <t>Dialosol - Dialogue des connaissances sur la santé des sols</t>
  </si>
  <si>
    <t>senior research fellow</t>
  </si>
  <si>
    <t>permanent position</t>
  </si>
  <si>
    <t>Hélène Launay</t>
  </si>
  <si>
    <t>CARBO-FLUX</t>
  </si>
  <si>
    <t>jasonpd2</t>
  </si>
  <si>
    <t>Primary Production on Mudflats</t>
  </si>
  <si>
    <t>CANA</t>
  </si>
  <si>
    <t>stream carbon cycling</t>
  </si>
  <si>
    <t>Living Lab Ferlo Sine</t>
  </si>
  <si>
    <t>Bio-Permaf-Ice 2025</t>
  </si>
  <si>
    <t>CARBONATES STABILITY IN SOILS</t>
  </si>
  <si>
    <t>Visiting Princeton</t>
  </si>
  <si>
    <t>Microbes for SOC</t>
  </si>
  <si>
    <t>Research Visit Cambridge</t>
  </si>
  <si>
    <t>Spectroscopy in tropical soils</t>
  </si>
  <si>
    <t>UCI - Agriculture VOC</t>
  </si>
  <si>
    <t>Microalgues épiphytes du PNBA</t>
  </si>
  <si>
    <t>Zaragoza</t>
  </si>
  <si>
    <t>1;3</t>
  </si>
  <si>
    <t>Australie</t>
  </si>
  <si>
    <t>Zimbabwe</t>
  </si>
  <si>
    <t>Mauritanie</t>
  </si>
  <si>
    <t>Inde</t>
  </si>
  <si>
    <t>Royaume-Uni</t>
  </si>
  <si>
    <t>CO2_CMΨ</t>
  </si>
  <si>
    <t>PREFALIM</t>
  </si>
  <si>
    <t>CarboNium</t>
  </si>
  <si>
    <t>CarboNium;CABESTAN</t>
  </si>
  <si>
    <t>RIFT;RhizoSeqC</t>
  </si>
  <si>
    <t>Laboratoire d’origine</t>
  </si>
  <si>
    <t>Research Institute for the Environment and Livelihoods at Charles Darwin University</t>
  </si>
  <si>
    <t>University of Illinois, Urbana-Champaign</t>
  </si>
  <si>
    <t>Coastal Marine Ecology, University of New Brunswick, Fredericton</t>
  </si>
  <si>
    <t>Research Institute for the Environment and Livelihoods, Charles Darwin University</t>
  </si>
  <si>
    <t>Department of Plant Production Sciences and Technologies, University of Zimbabwe</t>
  </si>
  <si>
    <t>Unité de chimie moléculaire et environnement (UCME)</t>
  </si>
  <si>
    <t>Laboratoire de destination</t>
  </si>
  <si>
    <t>Centre d'Etudes Nordiques - Université Laval</t>
  </si>
  <si>
    <t>Laboratoire mixte international Intensification Écologique des sols cultivés en Afrique de L’Ouest (IESOL)</t>
  </si>
  <si>
    <t xml:space="preserve">Churchill Northern Studies Centre </t>
  </si>
  <si>
    <t>Indo French Cell for Water Science (IFCWS, https://cefirse.cnrs.fr/)</t>
  </si>
  <si>
    <t>Princeton University, Economics Department</t>
  </si>
  <si>
    <t>Max Plank Institute for Biogeochemistry - Department of Biogeochemical Integration (Jena)</t>
  </si>
  <si>
    <t>University of Cambridge – Department of Land Economy – Cambridge Centre for Environment, Energy and Natural Resource Governance (C-EENRG)</t>
  </si>
  <si>
    <t xml:space="preserve">University of California - Irvine </t>
  </si>
  <si>
    <t>Université de Nouakchott, Unité de Chimie Moléculaire et Environnement (UCME), Parc National du Banc d'Arguin (PNBA)</t>
  </si>
  <si>
    <t>IPE-CSIC</t>
  </si>
  <si>
    <t>STRUCTURE GESTIONNAIRE</t>
  </si>
  <si>
    <t>UGA</t>
  </si>
  <si>
    <t>IPGP</t>
  </si>
  <si>
    <t>Nantes Université</t>
  </si>
  <si>
    <t>CNRS</t>
  </si>
  <si>
    <t>Université de Rennes</t>
  </si>
  <si>
    <t>ENS</t>
  </si>
  <si>
    <t>INRAE</t>
  </si>
  <si>
    <t>Chrono-environnement - UMR6249</t>
  </si>
  <si>
    <t>1-3 mois</t>
  </si>
  <si>
    <t>15-30J</t>
  </si>
  <si>
    <t>3 mois&lt;</t>
  </si>
  <si>
    <t>M</t>
  </si>
  <si>
    <t>F</t>
  </si>
  <si>
    <t>&lt;3000</t>
  </si>
  <si>
    <t>3000-5000</t>
  </si>
  <si>
    <t>5001-10000</t>
  </si>
  <si>
    <t>Genre</t>
  </si>
  <si>
    <t>rallonge de 700€</t>
  </si>
  <si>
    <t>RECUP FONDS_Mobilité non effectuée lié à un retard dans l'avancement des travaux de thèse</t>
  </si>
  <si>
    <t>RECUP FONDS_Fonds non perçu à temps - ANNULATION</t>
  </si>
  <si>
    <t>CIRAD</t>
  </si>
  <si>
    <t>Sebastien Bertrand fait à la place de Hage Sophie (maternité pas possible de faire la mobilité)</t>
  </si>
  <si>
    <t>La mobilité de 2 mois a bien été effectuée toutefois, l'accueil a démarré le 21/05 et s'est achevé le 18/07/2025 alors que la decision mentionnait mai-juin</t>
  </si>
  <si>
    <t>Chiadmi Ines</t>
  </si>
  <si>
    <t>Allain Aliénor</t>
  </si>
  <si>
    <t>Duvert Clément</t>
  </si>
  <si>
    <t>Bruni Elisa</t>
  </si>
  <si>
    <t>Ulloa Cedamanos Francesco</t>
  </si>
  <si>
    <t>Launay Hélène</t>
  </si>
  <si>
    <t>Dahlberg Jason</t>
  </si>
  <si>
    <t>Perez Serrano Lucia</t>
  </si>
  <si>
    <t>Sinitambirivoutin Maidie</t>
  </si>
  <si>
    <t xml:space="preserve">Sidi Boune Mohamed Vall </t>
  </si>
  <si>
    <t>Omar Naaman</t>
  </si>
  <si>
    <t>Frings Olivier</t>
  </si>
  <si>
    <t>Massad Raia Sivlia</t>
  </si>
  <si>
    <t>Schütz Raphael</t>
  </si>
  <si>
    <t>Nyawasha Rumbidzai</t>
  </si>
  <si>
    <t>Ott Zoé</t>
  </si>
  <si>
    <t>AAP#3</t>
  </si>
  <si>
    <t>Emery Baptiste</t>
  </si>
  <si>
    <t>Mission Arctique Abisko -PEACE</t>
  </si>
  <si>
    <t>Abisko Research Station - Climate impacts Research Station</t>
  </si>
  <si>
    <t>INTERCAMBIO</t>
  </si>
  <si>
    <t>Géosciences Environnement Toulouse (GET) - UMR6249</t>
  </si>
  <si>
    <t>Departamento de Geoquímica (GEO), Federal University of Fluminense (UFF, Brazilian partner)</t>
  </si>
  <si>
    <t>Poteaux Noémie</t>
  </si>
  <si>
    <t>Milesi Vincent</t>
  </si>
  <si>
    <t>chaire Junior</t>
  </si>
  <si>
    <t>PEAT</t>
  </si>
  <si>
    <t>Institut des Sciences de la Terre d'Orléans (ISTO) - UMR7327</t>
  </si>
  <si>
    <t>School of Earth Science of Bristol</t>
  </si>
  <si>
    <t xml:space="preserve">Laboratoire de Bioénergétique et Ingéniérie des proteines (BIP) - UMR7281 </t>
  </si>
  <si>
    <t xml:space="preserve">Université de Nouakchott, Unité de Chimie Moléculaire et Environnement (UCME), Parc National du Banc d'Arguin (PNBA) </t>
  </si>
  <si>
    <t>Metabolism_epiphyte_PNBA</t>
  </si>
  <si>
    <t>Les lipides épiphytes du PNBA</t>
  </si>
  <si>
    <t>Hayek Matthew</t>
  </si>
  <si>
    <t>Firmino dos Santos Rosemery Alesandra</t>
  </si>
  <si>
    <t>Plaçais Timo</t>
  </si>
  <si>
    <t>Poirier Vincent</t>
  </si>
  <si>
    <t>Sath Sithea</t>
  </si>
  <si>
    <t>Ag and forest carbon tradeoffs</t>
  </si>
  <si>
    <t>Mobilité à Madrid</t>
  </si>
  <si>
    <t>SEMOA</t>
  </si>
  <si>
    <t>Mobilité Stockholm 2 mois</t>
  </si>
  <si>
    <t>CONFOQAL-MOS</t>
  </si>
  <si>
    <t>SPECTRO-KHMER</t>
  </si>
  <si>
    <t>Paris-Saclay Applied Economics (PSAE) - UMR02210</t>
  </si>
  <si>
    <t>Institut d'écologie et des sciences de l'environnement de Paris (IEES) - UMR1392</t>
  </si>
  <si>
    <t>Fractionnement des AgroRessources et Environnement (FARE) - UMR0614</t>
  </si>
  <si>
    <t>Écologie fonctionnelle et écotoxicologie des agroécosystèmes (ECOSYS) - UMR1402</t>
  </si>
  <si>
    <t>Laboratoire d'étude des Interactions Sol - Agrosystème - Hydrosystème (LISAH) - UMR1221</t>
  </si>
  <si>
    <t>USA</t>
  </si>
  <si>
    <t>Cambodge</t>
  </si>
  <si>
    <t>New York University Department of Environmental Studies</t>
  </si>
  <si>
    <t>1;2;4</t>
  </si>
  <si>
    <t>ALAMOD;CLIM-FAS;PREFALIM</t>
  </si>
  <si>
    <t>ALAMOD;SLAM-B;CarboNium</t>
  </si>
  <si>
    <t>Universidad Politécnica de Madrid</t>
  </si>
  <si>
    <t>Laboratoire d’Agroécologie et de Gestion des Agroécosystèmes, Département d’Agronomie, Université Fédérale de Viçosa (UFV), Minas Gerais</t>
  </si>
  <si>
    <t>Stockholm University, department of physical geography</t>
  </si>
  <si>
    <t>Institut de recherche en agriculture et agroalimentaire de l'UQAT</t>
  </si>
  <si>
    <t>CANETE;RhizoSeqC</t>
  </si>
  <si>
    <t>IRD Occitanie</t>
  </si>
  <si>
    <t>IRD IDF</t>
  </si>
  <si>
    <t>Mbaye Abdoul Aziz Dabakh</t>
  </si>
  <si>
    <t>Mon séjour à l'INRAE de Colmar</t>
  </si>
  <si>
    <t>Sapflow TTD-Process</t>
  </si>
  <si>
    <t>Ka Moussa</t>
  </si>
  <si>
    <t>Laboratoire Agronomie Environnement - Antenne Colmar (LAE) - UMR1132</t>
  </si>
  <si>
    <t xml:space="preserve">Laboratoire Mixte International d’Intensification Ecologique des sols et agroécosystèmes en Afrique de l'Ouest (IESOL) et Ecole Supérieure Polytechnique de l'Université Cheikh Anta Diop de Dakar (Département de Mathématique et Informatique) </t>
  </si>
  <si>
    <t>SLAM-B;RIFT</t>
  </si>
  <si>
    <t>Decline Louis</t>
  </si>
  <si>
    <t>Mobilité scientifique RIFT</t>
  </si>
  <si>
    <t>Systèmes d’élevage méditerranéens et tropicaux (SELMET) - UMR 112 Campus agronomique de KOUROU</t>
  </si>
  <si>
    <t>Unité Mixte de Recherche Écosystème Prairial (UREP) - UMR874, Site de Crouel</t>
  </si>
  <si>
    <t>Guyane / France</t>
  </si>
  <si>
    <t>RIFT</t>
  </si>
  <si>
    <t>ALAMOD;RIFT</t>
  </si>
  <si>
    <t>CarbonMangro 2D</t>
  </si>
  <si>
    <t xml:space="preserve">Nascimento Monte Christiane do </t>
  </si>
  <si>
    <t>Laboratoire de Planetologie et Geosciences (LPG) - UMR6112</t>
  </si>
  <si>
    <t>Université Angers</t>
  </si>
  <si>
    <t>Laboratory of Biogeochemistry and Marine Pollution</t>
  </si>
  <si>
    <t>Cousteur Nathan</t>
  </si>
  <si>
    <t>Dynamique du CH4</t>
  </si>
  <si>
    <t xml:space="preserve">Silva - UMR1434 </t>
  </si>
  <si>
    <t>Université de Lorraine</t>
  </si>
  <si>
    <t>Japon</t>
  </si>
  <si>
    <t>Forest Utilization - Kyoto University</t>
  </si>
  <si>
    <t>ABISKO Terrain</t>
  </si>
  <si>
    <t>Chabroux Ulysse</t>
  </si>
  <si>
    <t>MONTANT TOTAL DES MOBILITES</t>
  </si>
  <si>
    <t>moins les 2 annulations</t>
  </si>
  <si>
    <t>Abisko Science Rearch Station, ISOS station</t>
  </si>
  <si>
    <t>Laboratoire d'Ecologie et d'Ecohydrologie du département de biologie végétale de l'Université Cheikh Anta DIOP de Dakar</t>
  </si>
  <si>
    <t>Paris-Jourdan Sciences Economiques - UMR8545</t>
  </si>
  <si>
    <t>Environmental Microbial Genomics Laboratory, Georgia Institute of Technology, Atlanta</t>
  </si>
  <si>
    <t>Department of Geography, University of Saint Andrews</t>
  </si>
  <si>
    <t>Université de Montréal, département de géographie, laboratoire de biogéographie</t>
  </si>
  <si>
    <t>Laboratório de Biogeoquímica Marinha (UFF)</t>
  </si>
  <si>
    <t>Department of Chemistry, Life Sciences and Environmental Sustainability of the University of Parma</t>
  </si>
  <si>
    <t>Environnements et Paléoenvironnements Océaniques et Continentaux (EPOC) - UMR5805</t>
  </si>
  <si>
    <t>Département de Géomatique, Université de Sherbrooke</t>
  </si>
  <si>
    <t>Géosciences et Environnement Toulouse (GET) - UMR5563</t>
  </si>
  <si>
    <t>Géosciences Rennes - UMR6118</t>
  </si>
  <si>
    <t>Laboratoire de Géologie de l’École normale supérieure (LG-ENS / LGE) - UMR8538</t>
  </si>
  <si>
    <t>Ecologie Fonctionnelle et Biogéochimie des sols et agroécosystème (Eco&amp;Sols) – UMR1222</t>
  </si>
  <si>
    <t>Institut des géosciences de l'environnement (IGE) - UMR5001 / UR252</t>
  </si>
  <si>
    <t>Centre de Recherche sur la Biodiversité et l'Environnement (CRBE) - UMR5300</t>
  </si>
  <si>
    <t>Institut des Substances et Organismes de la Mer (ISOMer) - UR2160</t>
  </si>
  <si>
    <t>Bureau d’Économie Théorique et Appliquée (BETA) - UMR7522</t>
  </si>
  <si>
    <t>Centre Alpin de Recherche sur les Réseaux Trophiques et les Écosystèmes Limniques (CARRTEL) - UMR0042</t>
  </si>
  <si>
    <t>Institut de Physique du Globe de Paris (IPGP) - UMR7154</t>
  </si>
  <si>
    <t>Laboratoire d’Océanologie et de Géosciences (LOG) - UMR8187</t>
  </si>
  <si>
    <t>Centre for Microbiology and Environmental Systems Science - Division of Terrestrial Ecosystem Research, Université de Vienne</t>
  </si>
  <si>
    <t>Centre ISRA IRD de Bel Air</t>
  </si>
  <si>
    <t>Swedish University of Agricultural Sciences</t>
  </si>
  <si>
    <t>Laboratoire Géosciences Paris‑Saclay (GEOPS) - UMR8148</t>
  </si>
  <si>
    <t>Pyrenean Institute of Ecology, Spanish National Research Council, Apdo 13034, E-50080 Zaragoza</t>
  </si>
  <si>
    <t>University of Antwerp - Department of Engineering Management - Research Group "Environmental Economics"</t>
  </si>
  <si>
    <t>Laboratoire de Planétologie et Géosciences (LPG) - UMR6112</t>
  </si>
  <si>
    <t>Unité Mixte de Recherche transfrontalière BioEcoAgro - 1158</t>
  </si>
  <si>
    <t>Max Planck Institute - Department Biogeochemical Integration (BGI)</t>
  </si>
  <si>
    <t>NOM</t>
  </si>
  <si>
    <t>Id</t>
  </si>
  <si>
    <t>Pays</t>
  </si>
  <si>
    <t>Type</t>
  </si>
  <si>
    <t>Duree</t>
  </si>
  <si>
    <t>Origine</t>
  </si>
  <si>
    <t>Sherbrooke</t>
  </si>
  <si>
    <t>Parma</t>
  </si>
  <si>
    <t>Dakar</t>
  </si>
  <si>
    <t>Destination</t>
  </si>
  <si>
    <t>Atlanta</t>
  </si>
  <si>
    <t>Paris</t>
  </si>
  <si>
    <t>Saclay</t>
  </si>
  <si>
    <t>Reims</t>
  </si>
  <si>
    <t>Toulouse</t>
  </si>
  <si>
    <t>Orléans</t>
  </si>
  <si>
    <t>Marseille</t>
  </si>
  <si>
    <t>Nouakchott</t>
  </si>
  <si>
    <t>New York</t>
  </si>
  <si>
    <t>Abisko</t>
  </si>
  <si>
    <t>Kyoto</t>
  </si>
  <si>
    <t>Nancy</t>
  </si>
  <si>
    <t>Sao Paulo</t>
  </si>
  <si>
    <t>Nantes</t>
  </si>
  <si>
    <t>Angers</t>
  </si>
  <si>
    <t>Clermont-Ferrand</t>
  </si>
  <si>
    <t>Kourou</t>
  </si>
  <si>
    <t>Montpellier</t>
  </si>
  <si>
    <t>Colmar</t>
  </si>
  <si>
    <t>Quebec</t>
  </si>
  <si>
    <t>Stockholm</t>
  </si>
  <si>
    <t>Madrid</t>
  </si>
  <si>
    <t>Bristol</t>
  </si>
  <si>
    <t>Fluminense</t>
  </si>
  <si>
    <t>Besançon</t>
  </si>
  <si>
    <t>Sydney</t>
  </si>
  <si>
    <t>Grenoble</t>
  </si>
  <si>
    <t>Boston</t>
  </si>
  <si>
    <t>Churchill</t>
  </si>
  <si>
    <t>Bangalore</t>
  </si>
  <si>
    <t>New Brunswick</t>
  </si>
  <si>
    <t>Harare</t>
  </si>
  <si>
    <t>Irvine</t>
  </si>
  <si>
    <t>Rennes</t>
  </si>
  <si>
    <t>Thonon</t>
  </si>
  <si>
    <t>Urbana-Champaign</t>
  </si>
  <si>
    <t>Jena</t>
  </si>
  <si>
    <t>Lille</t>
  </si>
  <si>
    <t>Bel Air</t>
  </si>
  <si>
    <t>Ultuna</t>
  </si>
  <si>
    <t>Saint Andrews</t>
  </si>
  <si>
    <t>Montréal</t>
  </si>
  <si>
    <t>Antwerp</t>
  </si>
  <si>
    <t>La Rochelle</t>
  </si>
  <si>
    <t>Viçosa</t>
  </si>
  <si>
    <t>Vienna</t>
  </si>
  <si>
    <t xml:space="preserve">Phnom Penh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</si>
</sst>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Font="1" applyFill="1" applyBorder="1"/>
    <xf numFmtId="0" fontId="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Border="1"/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164" fontId="0" fillId="0" borderId="1" xfId="0" applyNumberFormat="1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0" fillId="0" borderId="0" xfId="0" applyFont="1" applyFill="1" applyBorder="1" applyAlignment="1">
      <alignment horizontal="left" vertic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/>
    <xf numFmtId="0" fontId="11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2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15" fillId="0" borderId="1" xfId="0" applyFont="1" applyFill="1" applyBorder="1"/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/>
    </xf>
    <xf numFmtId="164" fontId="15" fillId="0" borderId="1" xfId="0" applyNumberFormat="1" applyFont="1" applyFill="1" applyBorder="1" applyAlignment="1">
      <alignment horizontal="right" vertical="center"/>
    </xf>
    <xf numFmtId="164" fontId="15" fillId="0" borderId="1" xfId="0" applyNumberFormat="1" applyFont="1" applyFill="1" applyBorder="1"/>
    <xf numFmtId="164" fontId="15" fillId="0" borderId="1" xfId="0" applyNumberFormat="1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 vertical="center"/>
    </xf>
    <xf numFmtId="0" fontId="17" fillId="0" borderId="1" xfId="0" applyFont="1" applyFill="1" applyBorder="1"/>
    <xf numFmtId="0" fontId="17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center"/>
    </xf>
    <xf numFmtId="164" fontId="17" fillId="0" borderId="1" xfId="0" applyNumberFormat="1" applyFont="1" applyFill="1" applyBorder="1"/>
    <xf numFmtId="0" fontId="18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64" fontId="12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13" fillId="5" borderId="0" xfId="0" applyNumberFormat="1" applyFont="1" applyFill="1" applyBorder="1" applyAlignment="1">
      <alignment horizontal="center" vertical="center"/>
    </xf>
    <xf numFmtId="164" fontId="13" fillId="6" borderId="0" xfId="0" applyNumberFormat="1" applyFont="1" applyFill="1" applyBorder="1" applyAlignment="1">
      <alignment horizontal="center" vertical="center"/>
    </xf>
    <xf numFmtId="2" fontId="16" fillId="0" borderId="0" xfId="0" applyNumberFormat="1" applyFont="1" applyBorder="1" applyAlignment="1">
      <alignment horizontal="left" vertical="center"/>
    </xf>
    <xf numFmtId="0" fontId="0" fillId="0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wrapText="1"/>
    </xf>
    <xf numFmtId="0" fontId="15" fillId="0" borderId="1" xfId="0" applyFont="1" applyFill="1" applyBorder="1" applyAlignment="1">
      <alignment horizontal="left" vertical="center" wrapText="1"/>
    </xf>
    <xf numFmtId="164" fontId="0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31BC34A-CF6D-4DDC-8686-3A1E2A84C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02BD-EC7F-4FDA-A65E-A077E05C397D}">
  <dimension ref="A1:D16"/>
  <sheetViews>
    <sheetView topLeftCell="A16" workbookViewId="0">
      <selection activeCell="C12" sqref="C12"/>
    </sheetView>
  </sheetViews>
  <sheetFormatPr baseColWidth="10" defaultRowHeight="14.5" x14ac:dyDescent="0.35"/>
  <cols>
    <col min="2" max="2" width="21.453125" bestFit="1" customWidth="1"/>
    <col min="3" max="3" width="25" style="12" bestFit="1" customWidth="1"/>
    <col min="4" max="4" width="39.90625" customWidth="1"/>
  </cols>
  <sheetData>
    <row r="1" spans="1:4" x14ac:dyDescent="0.35">
      <c r="A1" s="3" t="s">
        <v>25</v>
      </c>
    </row>
    <row r="2" spans="1:4" x14ac:dyDescent="0.35">
      <c r="A2" s="3" t="s">
        <v>27</v>
      </c>
    </row>
    <row r="3" spans="1:4" x14ac:dyDescent="0.35">
      <c r="A3" s="3" t="s">
        <v>26</v>
      </c>
    </row>
    <row r="5" spans="1:4" x14ac:dyDescent="0.35">
      <c r="A5" s="4" t="s">
        <v>11</v>
      </c>
    </row>
    <row r="6" spans="1:4" x14ac:dyDescent="0.35">
      <c r="B6" s="5" t="s">
        <v>8</v>
      </c>
      <c r="C6" s="5" t="s">
        <v>7</v>
      </c>
      <c r="D6" s="9" t="s">
        <v>14</v>
      </c>
    </row>
    <row r="7" spans="1:4" ht="58" x14ac:dyDescent="0.35">
      <c r="B7" s="6" t="s">
        <v>28</v>
      </c>
      <c r="C7" s="10" t="s">
        <v>29</v>
      </c>
      <c r="D7" s="8" t="s">
        <v>30</v>
      </c>
    </row>
    <row r="8" spans="1:4" ht="29" x14ac:dyDescent="0.35">
      <c r="B8" s="7" t="s">
        <v>1</v>
      </c>
      <c r="C8" s="10" t="s">
        <v>23</v>
      </c>
      <c r="D8" s="8" t="s">
        <v>24</v>
      </c>
    </row>
    <row r="9" spans="1:4" ht="29" x14ac:dyDescent="0.35">
      <c r="B9" s="6" t="s">
        <v>6</v>
      </c>
      <c r="C9" s="10" t="s">
        <v>31</v>
      </c>
      <c r="D9" s="8" t="s">
        <v>32</v>
      </c>
    </row>
    <row r="10" spans="1:4" ht="58" x14ac:dyDescent="0.35">
      <c r="B10" s="7" t="s">
        <v>12</v>
      </c>
      <c r="C10" s="8" t="s">
        <v>13</v>
      </c>
      <c r="D10" s="8"/>
    </row>
    <row r="11" spans="1:4" ht="29" x14ac:dyDescent="0.35">
      <c r="B11" s="7" t="s">
        <v>0</v>
      </c>
      <c r="C11" s="8" t="s">
        <v>9</v>
      </c>
      <c r="D11" s="8" t="s">
        <v>10</v>
      </c>
    </row>
    <row r="12" spans="1:4" ht="29" x14ac:dyDescent="0.35">
      <c r="B12" s="7" t="s">
        <v>5</v>
      </c>
      <c r="C12" s="8" t="s">
        <v>20</v>
      </c>
      <c r="D12" s="8"/>
    </row>
    <row r="13" spans="1:4" ht="101.5" x14ac:dyDescent="0.35">
      <c r="B13" s="7" t="s">
        <v>3</v>
      </c>
      <c r="C13" s="8" t="s">
        <v>19</v>
      </c>
      <c r="D13" s="13" t="s">
        <v>22</v>
      </c>
    </row>
    <row r="14" spans="1:4" ht="29" x14ac:dyDescent="0.35">
      <c r="B14" s="7" t="s">
        <v>2</v>
      </c>
      <c r="C14" s="8" t="s">
        <v>15</v>
      </c>
      <c r="D14" s="8"/>
    </row>
    <row r="15" spans="1:4" ht="29" x14ac:dyDescent="0.35">
      <c r="B15" s="7" t="s">
        <v>16</v>
      </c>
      <c r="C15" s="8" t="s">
        <v>18</v>
      </c>
      <c r="D15" s="8" t="s">
        <v>17</v>
      </c>
    </row>
    <row r="16" spans="1:4" ht="43.5" x14ac:dyDescent="0.35">
      <c r="B16" s="7" t="s">
        <v>4</v>
      </c>
      <c r="C16" s="8" t="s">
        <v>21</v>
      </c>
      <c r="D16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I8" zoomScaleNormal="100" workbookViewId="0">
      <selection activeCell="Q10" sqref="Q10"/>
    </sheetView>
  </sheetViews>
  <sheetFormatPr baseColWidth="10" defaultColWidth="8.7265625" defaultRowHeight="14.5" x14ac:dyDescent="0.35"/>
  <cols>
    <col min="1" max="1" width="12.08984375" style="1" customWidth="1"/>
    <col min="2" max="2" width="19.453125" style="27" customWidth="1"/>
    <col min="3" max="3" width="8.6328125" style="27" customWidth="1"/>
    <col min="4" max="4" width="15.1796875" style="1" customWidth="1"/>
    <col min="5" max="5" width="27.1796875" style="2" customWidth="1"/>
    <col min="6" max="6" width="12.36328125" style="11" customWidth="1"/>
    <col min="7" max="8" width="12.81640625" style="11" customWidth="1"/>
    <col min="9" max="10" width="13.54296875" style="2" customWidth="1"/>
    <col min="11" max="11" width="17.08984375" style="83" customWidth="1"/>
    <col min="12" max="13" width="24.7265625" style="83" customWidth="1"/>
    <col min="14" max="15" width="17.08984375" style="83" customWidth="1"/>
    <col min="16" max="16" width="12.81640625" style="11" customWidth="1"/>
    <col min="17" max="17" width="34.36328125" style="37" customWidth="1"/>
    <col min="18" max="18" width="10" style="2" customWidth="1"/>
    <col min="19" max="19" width="17.36328125" style="2" customWidth="1"/>
    <col min="20" max="20" width="19" style="2" customWidth="1"/>
    <col min="21" max="16384" width="8.7265625" style="2"/>
  </cols>
  <sheetData>
    <row r="1" spans="1:20" s="1" customFormat="1" ht="58" x14ac:dyDescent="0.35">
      <c r="A1" s="38" t="s">
        <v>286</v>
      </c>
      <c r="B1" s="39" t="s">
        <v>285</v>
      </c>
      <c r="C1" s="39" t="s">
        <v>157</v>
      </c>
      <c r="D1" s="38" t="s">
        <v>1</v>
      </c>
      <c r="E1" s="38" t="s">
        <v>6</v>
      </c>
      <c r="F1" s="38" t="s">
        <v>288</v>
      </c>
      <c r="G1" s="38" t="s">
        <v>12</v>
      </c>
      <c r="H1" s="38"/>
      <c r="I1" s="38" t="s">
        <v>289</v>
      </c>
      <c r="J1" s="38"/>
      <c r="K1" s="38" t="s">
        <v>287</v>
      </c>
      <c r="L1" s="38" t="s">
        <v>122</v>
      </c>
      <c r="M1" s="38" t="s">
        <v>290</v>
      </c>
      <c r="N1" s="38" t="s">
        <v>129</v>
      </c>
      <c r="O1" s="38" t="s">
        <v>294</v>
      </c>
      <c r="P1" s="38" t="s">
        <v>140</v>
      </c>
      <c r="Q1" s="40" t="s">
        <v>63</v>
      </c>
      <c r="R1" s="38" t="s">
        <v>0</v>
      </c>
      <c r="S1" s="38" t="s">
        <v>5</v>
      </c>
      <c r="T1" s="38" t="s">
        <v>3</v>
      </c>
    </row>
    <row r="2" spans="1:20" s="42" customFormat="1" ht="72.5" x14ac:dyDescent="0.35">
      <c r="A2" s="19" t="s">
        <v>33</v>
      </c>
      <c r="B2" s="18" t="s">
        <v>62</v>
      </c>
      <c r="C2" s="18" t="s">
        <v>152</v>
      </c>
      <c r="D2" s="18" t="s">
        <v>46</v>
      </c>
      <c r="E2" s="19" t="s">
        <v>51</v>
      </c>
      <c r="F2" s="24" t="s">
        <v>64</v>
      </c>
      <c r="G2" s="23">
        <v>3000</v>
      </c>
      <c r="H2" s="20" t="s">
        <v>155</v>
      </c>
      <c r="I2" s="24">
        <v>1.5</v>
      </c>
      <c r="J2" s="21" t="s">
        <v>149</v>
      </c>
      <c r="K2" s="75" t="s">
        <v>76</v>
      </c>
      <c r="L2" s="84" t="s">
        <v>264</v>
      </c>
      <c r="M2" s="84" t="s">
        <v>291</v>
      </c>
      <c r="N2" s="84" t="s">
        <v>270</v>
      </c>
      <c r="O2" s="84" t="s">
        <v>299</v>
      </c>
      <c r="P2" s="23" t="s">
        <v>144</v>
      </c>
      <c r="Q2" s="34"/>
      <c r="R2" s="25" t="s">
        <v>66</v>
      </c>
      <c r="S2" s="24" t="s">
        <v>68</v>
      </c>
      <c r="T2" s="24" t="s">
        <v>73</v>
      </c>
    </row>
    <row r="3" spans="1:20" s="14" customFormat="1" ht="72.5" x14ac:dyDescent="0.35">
      <c r="A3" s="28" t="s">
        <v>33</v>
      </c>
      <c r="B3" s="29" t="s">
        <v>57</v>
      </c>
      <c r="C3" s="29" t="s">
        <v>153</v>
      </c>
      <c r="D3" s="29" t="s">
        <v>46</v>
      </c>
      <c r="E3" s="28" t="s">
        <v>54</v>
      </c>
      <c r="F3" s="30" t="s">
        <v>64</v>
      </c>
      <c r="G3" s="31">
        <v>4630</v>
      </c>
      <c r="H3" s="31" t="s">
        <v>155</v>
      </c>
      <c r="I3" s="30">
        <v>0.5</v>
      </c>
      <c r="J3" s="30" t="s">
        <v>150</v>
      </c>
      <c r="K3" s="76" t="s">
        <v>81</v>
      </c>
      <c r="L3" s="85" t="s">
        <v>262</v>
      </c>
      <c r="M3" s="85" t="s">
        <v>292</v>
      </c>
      <c r="N3" s="85" t="s">
        <v>263</v>
      </c>
      <c r="O3" s="85" t="s">
        <v>338</v>
      </c>
      <c r="P3" s="31" t="s">
        <v>144</v>
      </c>
      <c r="Q3" s="35" t="s">
        <v>160</v>
      </c>
      <c r="R3" s="32">
        <v>1</v>
      </c>
      <c r="S3" s="32" t="s">
        <v>69</v>
      </c>
      <c r="T3" s="30" t="s">
        <v>73</v>
      </c>
    </row>
    <row r="4" spans="1:20" s="14" customFormat="1" ht="72.5" x14ac:dyDescent="0.35">
      <c r="A4" s="19" t="s">
        <v>33</v>
      </c>
      <c r="B4" s="18" t="s">
        <v>40</v>
      </c>
      <c r="C4" s="18" t="s">
        <v>152</v>
      </c>
      <c r="D4" s="16" t="s">
        <v>46</v>
      </c>
      <c r="E4" s="19" t="s">
        <v>36</v>
      </c>
      <c r="F4" s="25" t="s">
        <v>43</v>
      </c>
      <c r="G4" s="20">
        <v>2300</v>
      </c>
      <c r="H4" s="20" t="s">
        <v>154</v>
      </c>
      <c r="I4" s="21">
        <v>0.5</v>
      </c>
      <c r="J4" s="21" t="s">
        <v>150</v>
      </c>
      <c r="K4" s="75" t="s">
        <v>77</v>
      </c>
      <c r="L4" s="84" t="s">
        <v>283</v>
      </c>
      <c r="M4" s="84" t="s">
        <v>332</v>
      </c>
      <c r="N4" s="84" t="s">
        <v>284</v>
      </c>
      <c r="O4" s="84" t="s">
        <v>331</v>
      </c>
      <c r="P4" s="20" t="s">
        <v>147</v>
      </c>
      <c r="Q4" s="33"/>
      <c r="R4" s="22" t="s">
        <v>65</v>
      </c>
      <c r="S4" s="22" t="s">
        <v>69</v>
      </c>
      <c r="T4" s="21" t="s">
        <v>73</v>
      </c>
    </row>
    <row r="5" spans="1:20" s="14" customFormat="1" ht="58" x14ac:dyDescent="0.35">
      <c r="A5" s="19" t="s">
        <v>33</v>
      </c>
      <c r="B5" s="18" t="s">
        <v>61</v>
      </c>
      <c r="C5" s="18" t="s">
        <v>152</v>
      </c>
      <c r="D5" s="18" t="s">
        <v>44</v>
      </c>
      <c r="E5" s="19" t="s">
        <v>56</v>
      </c>
      <c r="F5" s="21" t="s">
        <v>64</v>
      </c>
      <c r="G5" s="20">
        <v>2840</v>
      </c>
      <c r="H5" s="20" t="s">
        <v>154</v>
      </c>
      <c r="I5" s="21">
        <v>2</v>
      </c>
      <c r="J5" s="21" t="s">
        <v>149</v>
      </c>
      <c r="K5" s="77" t="s">
        <v>85</v>
      </c>
      <c r="L5" s="86" t="s">
        <v>261</v>
      </c>
      <c r="M5" s="86" t="s">
        <v>307</v>
      </c>
      <c r="N5" s="86" t="s">
        <v>282</v>
      </c>
      <c r="O5" s="86" t="s">
        <v>309</v>
      </c>
      <c r="P5" s="20" t="s">
        <v>144</v>
      </c>
      <c r="Q5" s="33"/>
      <c r="R5" s="22" t="s">
        <v>66</v>
      </c>
      <c r="S5" s="22" t="s">
        <v>84</v>
      </c>
      <c r="T5" s="21" t="s">
        <v>84</v>
      </c>
    </row>
    <row r="6" spans="1:20" s="14" customFormat="1" ht="116" x14ac:dyDescent="0.35">
      <c r="A6" s="19" t="s">
        <v>33</v>
      </c>
      <c r="B6" s="18" t="s">
        <v>164</v>
      </c>
      <c r="C6" s="18" t="s">
        <v>153</v>
      </c>
      <c r="D6" s="41" t="s">
        <v>44</v>
      </c>
      <c r="E6" s="19" t="s">
        <v>37</v>
      </c>
      <c r="F6" s="25" t="s">
        <v>43</v>
      </c>
      <c r="G6" s="20">
        <v>5300</v>
      </c>
      <c r="H6" s="20" t="s">
        <v>156</v>
      </c>
      <c r="I6" s="21">
        <v>7</v>
      </c>
      <c r="J6" s="22" t="s">
        <v>151</v>
      </c>
      <c r="K6" s="75" t="s">
        <v>80</v>
      </c>
      <c r="L6" s="84" t="s">
        <v>208</v>
      </c>
      <c r="M6" s="84" t="s">
        <v>296</v>
      </c>
      <c r="N6" s="84" t="s">
        <v>281</v>
      </c>
      <c r="O6" s="84" t="s">
        <v>337</v>
      </c>
      <c r="P6" s="20" t="s">
        <v>147</v>
      </c>
      <c r="Q6" s="33"/>
      <c r="R6" s="22">
        <v>4</v>
      </c>
      <c r="S6" s="22" t="s">
        <v>69</v>
      </c>
      <c r="T6" s="21" t="s">
        <v>73</v>
      </c>
    </row>
    <row r="7" spans="1:20" s="58" customFormat="1" ht="87" x14ac:dyDescent="0.35">
      <c r="A7" s="19" t="s">
        <v>33</v>
      </c>
      <c r="B7" s="18" t="s">
        <v>42</v>
      </c>
      <c r="C7" s="18" t="s">
        <v>152</v>
      </c>
      <c r="D7" s="41" t="s">
        <v>45</v>
      </c>
      <c r="E7" s="19" t="s">
        <v>50</v>
      </c>
      <c r="F7" s="22" t="s">
        <v>43</v>
      </c>
      <c r="G7" s="20">
        <v>5000</v>
      </c>
      <c r="H7" s="20" t="s">
        <v>155</v>
      </c>
      <c r="I7" s="21">
        <v>3</v>
      </c>
      <c r="J7" s="22" t="s">
        <v>151</v>
      </c>
      <c r="K7" s="75" t="s">
        <v>79</v>
      </c>
      <c r="L7" s="84" t="s">
        <v>273</v>
      </c>
      <c r="M7" s="84" t="s">
        <v>329</v>
      </c>
      <c r="N7" s="84" t="s">
        <v>280</v>
      </c>
      <c r="O7" s="84" t="s">
        <v>110</v>
      </c>
      <c r="P7" s="20" t="s">
        <v>147</v>
      </c>
      <c r="Q7" s="33"/>
      <c r="R7" s="22" t="s">
        <v>66</v>
      </c>
      <c r="S7" s="22" t="s">
        <v>71</v>
      </c>
      <c r="T7" s="21" t="s">
        <v>74</v>
      </c>
    </row>
    <row r="8" spans="1:20" s="14" customFormat="1" ht="101.5" x14ac:dyDescent="0.35">
      <c r="A8" s="19" t="s">
        <v>33</v>
      </c>
      <c r="B8" s="18" t="s">
        <v>86</v>
      </c>
      <c r="C8" s="18" t="s">
        <v>152</v>
      </c>
      <c r="D8" s="18" t="s">
        <v>44</v>
      </c>
      <c r="E8" s="19" t="s">
        <v>91</v>
      </c>
      <c r="F8" s="21" t="s">
        <v>64</v>
      </c>
      <c r="G8" s="20">
        <v>6340</v>
      </c>
      <c r="H8" s="20" t="s">
        <v>156</v>
      </c>
      <c r="I8" s="21">
        <v>3</v>
      </c>
      <c r="J8" s="21" t="s">
        <v>149</v>
      </c>
      <c r="K8" s="75" t="s">
        <v>88</v>
      </c>
      <c r="L8" s="84" t="s">
        <v>256</v>
      </c>
      <c r="M8" s="84" t="s">
        <v>293</v>
      </c>
      <c r="N8" s="84" t="s">
        <v>268</v>
      </c>
      <c r="O8" s="84" t="s">
        <v>312</v>
      </c>
      <c r="P8" s="20" t="s">
        <v>161</v>
      </c>
      <c r="Q8" s="33"/>
      <c r="R8" s="22">
        <v>1</v>
      </c>
      <c r="S8" s="22" t="s">
        <v>89</v>
      </c>
      <c r="T8" s="21" t="s">
        <v>73</v>
      </c>
    </row>
    <row r="9" spans="1:20" s="14" customFormat="1" ht="72.5" x14ac:dyDescent="0.35">
      <c r="A9" s="19" t="s">
        <v>33</v>
      </c>
      <c r="B9" s="18" t="s">
        <v>39</v>
      </c>
      <c r="C9" s="18" t="s">
        <v>152</v>
      </c>
      <c r="D9" s="41" t="s">
        <v>45</v>
      </c>
      <c r="E9" s="19" t="s">
        <v>48</v>
      </c>
      <c r="F9" s="22" t="s">
        <v>43</v>
      </c>
      <c r="G9" s="20">
        <v>4000</v>
      </c>
      <c r="H9" s="20" t="s">
        <v>155</v>
      </c>
      <c r="I9" s="21">
        <v>1</v>
      </c>
      <c r="J9" s="21" t="s">
        <v>149</v>
      </c>
      <c r="K9" s="75" t="s">
        <v>76</v>
      </c>
      <c r="L9" s="84" t="s">
        <v>212</v>
      </c>
      <c r="M9" s="84" t="s">
        <v>312</v>
      </c>
      <c r="N9" s="84" t="s">
        <v>130</v>
      </c>
      <c r="O9" s="84" t="s">
        <v>314</v>
      </c>
      <c r="P9" s="20" t="s">
        <v>147</v>
      </c>
      <c r="Q9" s="33"/>
      <c r="R9" s="22" t="s">
        <v>66</v>
      </c>
      <c r="S9" s="22" t="s">
        <v>68</v>
      </c>
      <c r="T9" s="21" t="s">
        <v>72</v>
      </c>
    </row>
    <row r="10" spans="1:20" s="17" customFormat="1" ht="87" x14ac:dyDescent="0.35">
      <c r="A10" s="19" t="s">
        <v>33</v>
      </c>
      <c r="B10" s="18" t="s">
        <v>58</v>
      </c>
      <c r="C10" s="18" t="s">
        <v>153</v>
      </c>
      <c r="D10" s="18" t="s">
        <v>44</v>
      </c>
      <c r="E10" s="19" t="s">
        <v>52</v>
      </c>
      <c r="F10" s="21" t="s">
        <v>43</v>
      </c>
      <c r="G10" s="20">
        <v>7600</v>
      </c>
      <c r="H10" s="20" t="s">
        <v>156</v>
      </c>
      <c r="I10" s="21">
        <v>2</v>
      </c>
      <c r="J10" s="21" t="s">
        <v>149</v>
      </c>
      <c r="K10" s="75" t="s">
        <v>76</v>
      </c>
      <c r="L10" s="84" t="s">
        <v>148</v>
      </c>
      <c r="M10" s="84" t="s">
        <v>319</v>
      </c>
      <c r="N10" s="84" t="s">
        <v>260</v>
      </c>
      <c r="O10" s="84" t="s">
        <v>336</v>
      </c>
      <c r="P10" s="20" t="s">
        <v>144</v>
      </c>
      <c r="Q10" s="33"/>
      <c r="R10" s="22">
        <v>1</v>
      </c>
      <c r="S10" s="22" t="s">
        <v>71</v>
      </c>
      <c r="T10" s="21" t="s">
        <v>71</v>
      </c>
    </row>
    <row r="11" spans="1:20" s="14" customFormat="1" ht="58" x14ac:dyDescent="0.35">
      <c r="A11" s="60" t="s">
        <v>33</v>
      </c>
      <c r="B11" s="61" t="s">
        <v>60</v>
      </c>
      <c r="C11" s="61" t="s">
        <v>153</v>
      </c>
      <c r="D11" s="61" t="s">
        <v>46</v>
      </c>
      <c r="E11" s="60" t="s">
        <v>53</v>
      </c>
      <c r="F11" s="62" t="s">
        <v>43</v>
      </c>
      <c r="G11" s="63">
        <v>3000</v>
      </c>
      <c r="H11" s="63" t="s">
        <v>155</v>
      </c>
      <c r="I11" s="62">
        <v>0.5</v>
      </c>
      <c r="J11" s="62" t="s">
        <v>150</v>
      </c>
      <c r="K11" s="79" t="s">
        <v>83</v>
      </c>
      <c r="L11" s="87" t="s">
        <v>279</v>
      </c>
      <c r="M11" s="87" t="s">
        <v>297</v>
      </c>
      <c r="N11" s="87" t="s">
        <v>259</v>
      </c>
      <c r="O11" s="87" t="s">
        <v>335</v>
      </c>
      <c r="P11" s="63" t="s">
        <v>144</v>
      </c>
      <c r="Q11" s="64" t="s">
        <v>162</v>
      </c>
      <c r="R11" s="65" t="s">
        <v>66</v>
      </c>
      <c r="S11" s="65" t="s">
        <v>69</v>
      </c>
      <c r="T11" s="62" t="s">
        <v>73</v>
      </c>
    </row>
    <row r="12" spans="1:20" s="17" customFormat="1" ht="43.5" x14ac:dyDescent="0.35">
      <c r="A12" s="19" t="s">
        <v>33</v>
      </c>
      <c r="B12" s="18" t="s">
        <v>38</v>
      </c>
      <c r="C12" s="18" t="s">
        <v>152</v>
      </c>
      <c r="D12" s="41" t="s">
        <v>44</v>
      </c>
      <c r="E12" s="19" t="s">
        <v>35</v>
      </c>
      <c r="F12" s="22" t="s">
        <v>43</v>
      </c>
      <c r="G12" s="20">
        <v>7000</v>
      </c>
      <c r="H12" s="20" t="s">
        <v>156</v>
      </c>
      <c r="I12" s="21">
        <v>3</v>
      </c>
      <c r="J12" s="22" t="s">
        <v>151</v>
      </c>
      <c r="K12" s="75" t="s">
        <v>75</v>
      </c>
      <c r="L12" s="84" t="s">
        <v>209</v>
      </c>
      <c r="M12" s="84" t="s">
        <v>296</v>
      </c>
      <c r="N12" s="84" t="s">
        <v>278</v>
      </c>
      <c r="O12" s="12" t="s">
        <v>334</v>
      </c>
      <c r="P12" s="20" t="s">
        <v>147</v>
      </c>
      <c r="Q12" s="36"/>
      <c r="R12" s="22" t="s">
        <v>65</v>
      </c>
      <c r="S12" s="21" t="s">
        <v>67</v>
      </c>
      <c r="T12" s="21" t="s">
        <v>67</v>
      </c>
    </row>
    <row r="13" spans="1:20" s="26" customFormat="1" ht="58" x14ac:dyDescent="0.35">
      <c r="A13" s="19" t="s">
        <v>33</v>
      </c>
      <c r="B13" s="18" t="s">
        <v>87</v>
      </c>
      <c r="C13" s="18" t="s">
        <v>153</v>
      </c>
      <c r="D13" s="18" t="s">
        <v>46</v>
      </c>
      <c r="E13" s="19" t="s">
        <v>92</v>
      </c>
      <c r="F13" s="21" t="s">
        <v>43</v>
      </c>
      <c r="G13" s="20">
        <v>5700</v>
      </c>
      <c r="H13" s="20" t="s">
        <v>156</v>
      </c>
      <c r="I13" s="21">
        <v>1</v>
      </c>
      <c r="J13" s="21" t="s">
        <v>149</v>
      </c>
      <c r="K13" s="75" t="s">
        <v>88</v>
      </c>
      <c r="L13" s="84" t="s">
        <v>268</v>
      </c>
      <c r="M13" s="84" t="s">
        <v>312</v>
      </c>
      <c r="N13" s="84" t="s">
        <v>277</v>
      </c>
      <c r="O13" s="84" t="s">
        <v>333</v>
      </c>
      <c r="P13" s="20" t="s">
        <v>224</v>
      </c>
      <c r="Q13" s="33"/>
      <c r="R13" s="22" t="s">
        <v>90</v>
      </c>
      <c r="S13" s="22" t="s">
        <v>67</v>
      </c>
      <c r="T13" s="21" t="s">
        <v>67</v>
      </c>
    </row>
    <row r="14" spans="1:20" s="48" customFormat="1" ht="145" x14ac:dyDescent="0.35">
      <c r="A14" s="19" t="s">
        <v>33</v>
      </c>
      <c r="B14" s="18" t="s">
        <v>41</v>
      </c>
      <c r="C14" s="18" t="s">
        <v>153</v>
      </c>
      <c r="D14" s="41" t="s">
        <v>47</v>
      </c>
      <c r="E14" s="19" t="s">
        <v>49</v>
      </c>
      <c r="F14" s="22" t="s">
        <v>43</v>
      </c>
      <c r="G14" s="20">
        <v>4200</v>
      </c>
      <c r="H14" s="20" t="s">
        <v>155</v>
      </c>
      <c r="I14" s="21">
        <v>1</v>
      </c>
      <c r="J14" s="21" t="s">
        <v>149</v>
      </c>
      <c r="K14" s="75" t="s">
        <v>78</v>
      </c>
      <c r="L14" s="84" t="s">
        <v>210</v>
      </c>
      <c r="M14" s="84" t="s">
        <v>298</v>
      </c>
      <c r="N14" s="84" t="s">
        <v>276</v>
      </c>
      <c r="O14" s="84" t="s">
        <v>340</v>
      </c>
      <c r="P14" s="20" t="s">
        <v>147</v>
      </c>
      <c r="Q14" s="33"/>
      <c r="R14" s="22">
        <v>2</v>
      </c>
      <c r="S14" s="22" t="s">
        <v>70</v>
      </c>
      <c r="T14" s="21" t="s">
        <v>70</v>
      </c>
    </row>
    <row r="15" spans="1:20" s="14" customFormat="1" ht="101.5" x14ac:dyDescent="0.35">
      <c r="A15" s="28" t="s">
        <v>33</v>
      </c>
      <c r="B15" s="29" t="s">
        <v>59</v>
      </c>
      <c r="C15" s="29" t="s">
        <v>152</v>
      </c>
      <c r="D15" s="29" t="s">
        <v>44</v>
      </c>
      <c r="E15" s="28" t="s">
        <v>55</v>
      </c>
      <c r="F15" s="30" t="s">
        <v>43</v>
      </c>
      <c r="G15" s="31">
        <v>3175</v>
      </c>
      <c r="H15" s="31" t="s">
        <v>155</v>
      </c>
      <c r="I15" s="30">
        <v>2</v>
      </c>
      <c r="J15" s="30" t="s">
        <v>149</v>
      </c>
      <c r="K15" s="76" t="s">
        <v>82</v>
      </c>
      <c r="L15" s="85" t="s">
        <v>275</v>
      </c>
      <c r="M15" s="85" t="s">
        <v>332</v>
      </c>
      <c r="N15" s="85" t="s">
        <v>258</v>
      </c>
      <c r="O15" s="85" t="s">
        <v>295</v>
      </c>
      <c r="P15" s="31" t="s">
        <v>144</v>
      </c>
      <c r="Q15" s="35" t="s">
        <v>159</v>
      </c>
      <c r="R15" s="32">
        <v>1</v>
      </c>
      <c r="S15" s="32" t="s">
        <v>69</v>
      </c>
      <c r="T15" s="30" t="s">
        <v>73</v>
      </c>
    </row>
    <row r="16" spans="1:20" s="14" customFormat="1" ht="58" x14ac:dyDescent="0.35">
      <c r="A16" s="19" t="s">
        <v>34</v>
      </c>
      <c r="B16" s="43" t="s">
        <v>165</v>
      </c>
      <c r="C16" s="43" t="s">
        <v>153</v>
      </c>
      <c r="D16" s="43" t="s">
        <v>46</v>
      </c>
      <c r="E16" s="43" t="s">
        <v>99</v>
      </c>
      <c r="F16" s="44" t="s">
        <v>43</v>
      </c>
      <c r="G16" s="45">
        <v>4900</v>
      </c>
      <c r="H16" s="20" t="s">
        <v>155</v>
      </c>
      <c r="I16" s="22">
        <v>1</v>
      </c>
      <c r="J16" s="21" t="s">
        <v>149</v>
      </c>
      <c r="K16" s="75" t="s">
        <v>76</v>
      </c>
      <c r="L16" s="84" t="s">
        <v>270</v>
      </c>
      <c r="M16" s="84" t="s">
        <v>299</v>
      </c>
      <c r="N16" s="84" t="s">
        <v>130</v>
      </c>
      <c r="O16" s="84" t="s">
        <v>314</v>
      </c>
      <c r="P16" s="46" t="s">
        <v>144</v>
      </c>
      <c r="Q16" s="47"/>
      <c r="R16" s="22" t="s">
        <v>66</v>
      </c>
      <c r="S16" s="22" t="s">
        <v>68</v>
      </c>
      <c r="T16" s="24" t="s">
        <v>68</v>
      </c>
    </row>
    <row r="17" spans="1:20" s="59" customFormat="1" ht="87" x14ac:dyDescent="0.35">
      <c r="A17" s="19" t="s">
        <v>34</v>
      </c>
      <c r="B17" s="43" t="s">
        <v>167</v>
      </c>
      <c r="C17" s="43" t="s">
        <v>153</v>
      </c>
      <c r="D17" s="43" t="s">
        <v>46</v>
      </c>
      <c r="E17" s="43" t="s">
        <v>105</v>
      </c>
      <c r="F17" s="44" t="s">
        <v>43</v>
      </c>
      <c r="G17" s="45">
        <v>2100</v>
      </c>
      <c r="H17" s="20" t="s">
        <v>154</v>
      </c>
      <c r="I17" s="22">
        <v>0.5</v>
      </c>
      <c r="J17" s="21" t="s">
        <v>150</v>
      </c>
      <c r="K17" s="75" t="s">
        <v>77</v>
      </c>
      <c r="L17" s="84" t="s">
        <v>267</v>
      </c>
      <c r="M17" s="84" t="s">
        <v>296</v>
      </c>
      <c r="N17" s="84" t="s">
        <v>135</v>
      </c>
      <c r="O17" s="84" t="s">
        <v>331</v>
      </c>
      <c r="P17" s="46" t="s">
        <v>146</v>
      </c>
      <c r="Q17" s="47"/>
      <c r="R17" s="22">
        <v>2</v>
      </c>
      <c r="S17" s="22" t="s">
        <v>218</v>
      </c>
      <c r="T17" s="24" t="s">
        <v>89</v>
      </c>
    </row>
    <row r="18" spans="1:20" s="1" customFormat="1" ht="58" x14ac:dyDescent="0.35">
      <c r="A18" s="19" t="s">
        <v>34</v>
      </c>
      <c r="B18" s="43" t="s">
        <v>170</v>
      </c>
      <c r="C18" s="43" t="s">
        <v>152</v>
      </c>
      <c r="D18" s="43" t="s">
        <v>44</v>
      </c>
      <c r="E18" s="43" t="s">
        <v>97</v>
      </c>
      <c r="F18" s="21" t="s">
        <v>64</v>
      </c>
      <c r="G18" s="45">
        <v>6200</v>
      </c>
      <c r="H18" s="20" t="s">
        <v>156</v>
      </c>
      <c r="I18" s="22">
        <v>2</v>
      </c>
      <c r="J18" s="21" t="s">
        <v>149</v>
      </c>
      <c r="K18" s="77" t="s">
        <v>82</v>
      </c>
      <c r="L18" s="86" t="s">
        <v>124</v>
      </c>
      <c r="M18" s="12" t="s">
        <v>330</v>
      </c>
      <c r="N18" s="88" t="s">
        <v>274</v>
      </c>
      <c r="O18" s="88" t="s">
        <v>296</v>
      </c>
      <c r="P18" s="46" t="s">
        <v>142</v>
      </c>
      <c r="Q18" s="47" t="s">
        <v>163</v>
      </c>
      <c r="R18" s="22">
        <v>1</v>
      </c>
      <c r="S18" s="22" t="s">
        <v>119</v>
      </c>
      <c r="T18" s="21" t="s">
        <v>73</v>
      </c>
    </row>
    <row r="19" spans="1:20" s="49" customFormat="1" ht="72.5" x14ac:dyDescent="0.35">
      <c r="A19" s="19" t="s">
        <v>34</v>
      </c>
      <c r="B19" s="43" t="s">
        <v>42</v>
      </c>
      <c r="C19" s="43" t="s">
        <v>152</v>
      </c>
      <c r="D19" s="43" t="s">
        <v>45</v>
      </c>
      <c r="E19" s="43" t="s">
        <v>110</v>
      </c>
      <c r="F19" s="44" t="s">
        <v>43</v>
      </c>
      <c r="G19" s="45">
        <v>3000</v>
      </c>
      <c r="H19" s="20" t="s">
        <v>155</v>
      </c>
      <c r="I19" s="22">
        <v>2</v>
      </c>
      <c r="J19" s="21" t="s">
        <v>149</v>
      </c>
      <c r="K19" s="78" t="s">
        <v>79</v>
      </c>
      <c r="L19" s="84" t="s">
        <v>273</v>
      </c>
      <c r="M19" s="84" t="s">
        <v>329</v>
      </c>
      <c r="N19" s="84" t="s">
        <v>139</v>
      </c>
      <c r="O19" s="12" t="s">
        <v>110</v>
      </c>
      <c r="P19" s="46" t="s">
        <v>147</v>
      </c>
      <c r="Q19" s="47"/>
      <c r="R19" s="22" t="s">
        <v>66</v>
      </c>
      <c r="S19" s="22" t="s">
        <v>74</v>
      </c>
      <c r="T19" s="22" t="s">
        <v>74</v>
      </c>
    </row>
    <row r="20" spans="1:20" s="1" customFormat="1" ht="58" x14ac:dyDescent="0.35">
      <c r="A20" s="19" t="s">
        <v>34</v>
      </c>
      <c r="B20" s="43" t="s">
        <v>166</v>
      </c>
      <c r="C20" s="43" t="s">
        <v>152</v>
      </c>
      <c r="D20" s="43" t="s">
        <v>93</v>
      </c>
      <c r="E20" s="43" t="s">
        <v>100</v>
      </c>
      <c r="F20" s="21" t="s">
        <v>64</v>
      </c>
      <c r="G20" s="45">
        <v>4900</v>
      </c>
      <c r="H20" s="20" t="s">
        <v>155</v>
      </c>
      <c r="I20" s="22">
        <v>1</v>
      </c>
      <c r="J20" s="21" t="s">
        <v>149</v>
      </c>
      <c r="K20" s="78" t="s">
        <v>112</v>
      </c>
      <c r="L20" s="84" t="s">
        <v>126</v>
      </c>
      <c r="M20" s="84" t="s">
        <v>320</v>
      </c>
      <c r="N20" s="84" t="s">
        <v>266</v>
      </c>
      <c r="O20" s="84" t="s">
        <v>328</v>
      </c>
      <c r="P20" s="46" t="s">
        <v>145</v>
      </c>
      <c r="Q20" s="47"/>
      <c r="R20" s="22">
        <v>1</v>
      </c>
      <c r="S20" s="22" t="s">
        <v>119</v>
      </c>
      <c r="T20" s="21" t="s">
        <v>73</v>
      </c>
    </row>
    <row r="21" spans="1:20" s="66" customFormat="1" ht="145" x14ac:dyDescent="0.35">
      <c r="A21" s="19" t="s">
        <v>34</v>
      </c>
      <c r="B21" s="43" t="s">
        <v>175</v>
      </c>
      <c r="C21" s="43" t="s">
        <v>152</v>
      </c>
      <c r="D21" s="43" t="s">
        <v>44</v>
      </c>
      <c r="E21" s="43" t="s">
        <v>106</v>
      </c>
      <c r="F21" s="44" t="s">
        <v>43</v>
      </c>
      <c r="G21" s="45">
        <v>7000</v>
      </c>
      <c r="H21" s="20" t="s">
        <v>156</v>
      </c>
      <c r="I21" s="22">
        <v>6</v>
      </c>
      <c r="J21" s="22" t="s">
        <v>151</v>
      </c>
      <c r="K21" s="78" t="s">
        <v>116</v>
      </c>
      <c r="L21" s="84" t="s">
        <v>272</v>
      </c>
      <c r="M21" s="84" t="s">
        <v>306</v>
      </c>
      <c r="N21" s="84" t="s">
        <v>136</v>
      </c>
      <c r="O21" s="84" t="s">
        <v>322</v>
      </c>
      <c r="P21" s="46" t="s">
        <v>147</v>
      </c>
      <c r="Q21" s="47"/>
      <c r="R21" s="22">
        <v>4</v>
      </c>
      <c r="S21" s="22" t="s">
        <v>67</v>
      </c>
      <c r="T21" s="22" t="s">
        <v>67</v>
      </c>
    </row>
    <row r="22" spans="1:20" s="1" customFormat="1" ht="116" x14ac:dyDescent="0.35">
      <c r="A22" s="19" t="s">
        <v>34</v>
      </c>
      <c r="B22" s="43" t="s">
        <v>169</v>
      </c>
      <c r="C22" s="43" t="s">
        <v>153</v>
      </c>
      <c r="D22" s="43" t="s">
        <v>45</v>
      </c>
      <c r="E22" s="43" t="s">
        <v>95</v>
      </c>
      <c r="F22" s="44" t="s">
        <v>43</v>
      </c>
      <c r="G22" s="45">
        <v>3500</v>
      </c>
      <c r="H22" s="20" t="s">
        <v>155</v>
      </c>
      <c r="I22" s="22">
        <v>1</v>
      </c>
      <c r="J22" s="21" t="s">
        <v>149</v>
      </c>
      <c r="K22" s="78" t="s">
        <v>114</v>
      </c>
      <c r="L22" s="10" t="s">
        <v>193</v>
      </c>
      <c r="M22" s="10" t="s">
        <v>301</v>
      </c>
      <c r="N22" s="84" t="s">
        <v>138</v>
      </c>
      <c r="O22" s="84" t="s">
        <v>302</v>
      </c>
      <c r="P22" s="46" t="s">
        <v>144</v>
      </c>
      <c r="Q22" s="47"/>
      <c r="R22" s="22" t="s">
        <v>111</v>
      </c>
      <c r="S22" s="22" t="s">
        <v>117</v>
      </c>
      <c r="T22" s="22" t="s">
        <v>117</v>
      </c>
    </row>
    <row r="23" spans="1:20" s="1" customFormat="1" ht="58" x14ac:dyDescent="0.35">
      <c r="A23" s="19" t="s">
        <v>34</v>
      </c>
      <c r="B23" s="43" t="s">
        <v>176</v>
      </c>
      <c r="C23" s="43" t="s">
        <v>153</v>
      </c>
      <c r="D23" s="43" t="s">
        <v>94</v>
      </c>
      <c r="E23" s="43" t="s">
        <v>108</v>
      </c>
      <c r="F23" s="44" t="s">
        <v>43</v>
      </c>
      <c r="G23" s="45">
        <v>3000</v>
      </c>
      <c r="H23" s="20" t="s">
        <v>155</v>
      </c>
      <c r="I23" s="22">
        <v>5</v>
      </c>
      <c r="J23" s="22" t="s">
        <v>151</v>
      </c>
      <c r="K23" s="77" t="s">
        <v>82</v>
      </c>
      <c r="L23" s="86" t="s">
        <v>211</v>
      </c>
      <c r="M23" s="86" t="s">
        <v>297</v>
      </c>
      <c r="N23" s="86" t="s">
        <v>137</v>
      </c>
      <c r="O23" s="86" t="s">
        <v>327</v>
      </c>
      <c r="P23" s="46" t="s">
        <v>147</v>
      </c>
      <c r="Q23" s="47"/>
      <c r="R23" s="22">
        <v>2</v>
      </c>
      <c r="S23" s="22" t="s">
        <v>89</v>
      </c>
      <c r="T23" s="22" t="s">
        <v>89</v>
      </c>
    </row>
    <row r="24" spans="1:20" s="1" customFormat="1" ht="101.5" x14ac:dyDescent="0.35">
      <c r="A24" s="50" t="s">
        <v>34</v>
      </c>
      <c r="B24" s="51" t="s">
        <v>178</v>
      </c>
      <c r="C24" s="51" t="s">
        <v>153</v>
      </c>
      <c r="D24" s="51" t="s">
        <v>44</v>
      </c>
      <c r="E24" s="51" t="s">
        <v>107</v>
      </c>
      <c r="F24" s="52" t="s">
        <v>64</v>
      </c>
      <c r="G24" s="53">
        <f>6300+700</f>
        <v>7000</v>
      </c>
      <c r="H24" s="54" t="s">
        <v>156</v>
      </c>
      <c r="I24" s="56">
        <v>2</v>
      </c>
      <c r="J24" s="52" t="s">
        <v>149</v>
      </c>
      <c r="K24" s="80" t="s">
        <v>113</v>
      </c>
      <c r="L24" s="89" t="s">
        <v>127</v>
      </c>
      <c r="M24" s="89" t="s">
        <v>326</v>
      </c>
      <c r="N24" s="89" t="s">
        <v>268</v>
      </c>
      <c r="O24" s="89" t="s">
        <v>312</v>
      </c>
      <c r="P24" s="20" t="s">
        <v>224</v>
      </c>
      <c r="Q24" s="57" t="s">
        <v>158</v>
      </c>
      <c r="R24" s="56">
        <v>2</v>
      </c>
      <c r="S24" s="56" t="s">
        <v>89</v>
      </c>
      <c r="T24" s="56" t="s">
        <v>89</v>
      </c>
    </row>
    <row r="25" spans="1:20" s="1" customFormat="1" ht="72.5" x14ac:dyDescent="0.35">
      <c r="A25" s="19" t="s">
        <v>34</v>
      </c>
      <c r="B25" s="43" t="s">
        <v>174</v>
      </c>
      <c r="C25" s="43" t="s">
        <v>152</v>
      </c>
      <c r="D25" s="43" t="s">
        <v>44</v>
      </c>
      <c r="E25" s="43" t="s">
        <v>98</v>
      </c>
      <c r="F25" s="21" t="s">
        <v>64</v>
      </c>
      <c r="G25" s="45">
        <v>2100</v>
      </c>
      <c r="H25" s="20" t="s">
        <v>154</v>
      </c>
      <c r="I25" s="22">
        <v>0.5</v>
      </c>
      <c r="J25" s="21" t="s">
        <v>150</v>
      </c>
      <c r="K25" s="75" t="s">
        <v>76</v>
      </c>
      <c r="L25" s="84" t="s">
        <v>125</v>
      </c>
      <c r="M25" s="84" t="s">
        <v>325</v>
      </c>
      <c r="N25" s="84" t="s">
        <v>271</v>
      </c>
      <c r="O25" s="84" t="s">
        <v>308</v>
      </c>
      <c r="P25" s="46" t="s">
        <v>143</v>
      </c>
      <c r="Q25" s="47"/>
      <c r="R25" s="22">
        <v>1</v>
      </c>
      <c r="S25" s="22" t="s">
        <v>120</v>
      </c>
      <c r="T25" s="22" t="s">
        <v>120</v>
      </c>
    </row>
    <row r="26" spans="1:20" s="1" customFormat="1" ht="72.5" x14ac:dyDescent="0.35">
      <c r="A26" s="19" t="s">
        <v>34</v>
      </c>
      <c r="B26" s="43" t="s">
        <v>179</v>
      </c>
      <c r="C26" s="43" t="s">
        <v>153</v>
      </c>
      <c r="D26" s="43" t="s">
        <v>44</v>
      </c>
      <c r="E26" s="43" t="s">
        <v>103</v>
      </c>
      <c r="F26" s="44" t="s">
        <v>43</v>
      </c>
      <c r="G26" s="45">
        <v>4000</v>
      </c>
      <c r="H26" s="20" t="s">
        <v>155</v>
      </c>
      <c r="I26" s="22">
        <v>3</v>
      </c>
      <c r="J26" s="22" t="s">
        <v>151</v>
      </c>
      <c r="K26" s="78" t="s">
        <v>115</v>
      </c>
      <c r="L26" s="84" t="s">
        <v>265</v>
      </c>
      <c r="M26" s="84" t="s">
        <v>299</v>
      </c>
      <c r="N26" s="84" t="s">
        <v>133</v>
      </c>
      <c r="O26" s="84" t="s">
        <v>324</v>
      </c>
      <c r="P26" s="20" t="s">
        <v>224</v>
      </c>
      <c r="Q26" s="47"/>
      <c r="R26" s="22">
        <v>2</v>
      </c>
      <c r="S26" s="22" t="s">
        <v>121</v>
      </c>
      <c r="T26" s="21" t="s">
        <v>73</v>
      </c>
    </row>
    <row r="27" spans="1:20" s="1" customFormat="1" ht="58" x14ac:dyDescent="0.35">
      <c r="A27" s="19" t="s">
        <v>34</v>
      </c>
      <c r="B27" s="43" t="s">
        <v>171</v>
      </c>
      <c r="C27" s="43" t="s">
        <v>153</v>
      </c>
      <c r="D27" s="43" t="s">
        <v>44</v>
      </c>
      <c r="E27" s="43" t="s">
        <v>102</v>
      </c>
      <c r="F27" s="44" t="s">
        <v>43</v>
      </c>
      <c r="G27" s="45">
        <v>2510</v>
      </c>
      <c r="H27" s="20" t="s">
        <v>154</v>
      </c>
      <c r="I27" s="22">
        <v>1</v>
      </c>
      <c r="J27" s="21" t="s">
        <v>149</v>
      </c>
      <c r="K27" s="75" t="s">
        <v>76</v>
      </c>
      <c r="L27" s="84" t="s">
        <v>270</v>
      </c>
      <c r="M27" s="84" t="s">
        <v>299</v>
      </c>
      <c r="N27" s="84" t="s">
        <v>132</v>
      </c>
      <c r="O27" s="84" t="s">
        <v>323</v>
      </c>
      <c r="P27" s="46" t="s">
        <v>144</v>
      </c>
      <c r="Q27" s="47"/>
      <c r="R27" s="22">
        <v>2</v>
      </c>
      <c r="S27" s="22" t="s">
        <v>68</v>
      </c>
      <c r="T27" s="24" t="s">
        <v>68</v>
      </c>
    </row>
    <row r="28" spans="1:20" s="1" customFormat="1" ht="58" x14ac:dyDescent="0.35">
      <c r="A28" s="19" t="s">
        <v>34</v>
      </c>
      <c r="B28" s="43" t="s">
        <v>177</v>
      </c>
      <c r="C28" s="43" t="s">
        <v>152</v>
      </c>
      <c r="D28" s="43" t="s">
        <v>44</v>
      </c>
      <c r="E28" s="43" t="s">
        <v>104</v>
      </c>
      <c r="F28" s="44" t="s">
        <v>43</v>
      </c>
      <c r="G28" s="45">
        <v>1300</v>
      </c>
      <c r="H28" s="20" t="s">
        <v>154</v>
      </c>
      <c r="I28" s="22">
        <v>5</v>
      </c>
      <c r="J28" s="22" t="s">
        <v>151</v>
      </c>
      <c r="K28" s="77" t="s">
        <v>82</v>
      </c>
      <c r="L28" s="86" t="s">
        <v>257</v>
      </c>
      <c r="M28" s="86" t="s">
        <v>296</v>
      </c>
      <c r="N28" s="86" t="s">
        <v>134</v>
      </c>
      <c r="O28" s="86" t="s">
        <v>322</v>
      </c>
      <c r="P28" s="46" t="s">
        <v>144</v>
      </c>
      <c r="Q28" s="47"/>
      <c r="R28" s="22">
        <v>4</v>
      </c>
      <c r="S28" s="22" t="s">
        <v>118</v>
      </c>
      <c r="T28" s="24" t="s">
        <v>118</v>
      </c>
    </row>
    <row r="29" spans="1:20" s="1" customFormat="1" ht="72.5" x14ac:dyDescent="0.35">
      <c r="A29" s="19" t="s">
        <v>34</v>
      </c>
      <c r="B29" s="43" t="s">
        <v>173</v>
      </c>
      <c r="C29" s="43" t="s">
        <v>152</v>
      </c>
      <c r="D29" s="43" t="s">
        <v>45</v>
      </c>
      <c r="E29" s="43" t="s">
        <v>109</v>
      </c>
      <c r="F29" s="21" t="s">
        <v>64</v>
      </c>
      <c r="G29" s="45">
        <v>5500</v>
      </c>
      <c r="H29" s="20" t="s">
        <v>156</v>
      </c>
      <c r="I29" s="22">
        <v>1</v>
      </c>
      <c r="J29" s="21" t="s">
        <v>149</v>
      </c>
      <c r="K29" s="78" t="s">
        <v>114</v>
      </c>
      <c r="L29" s="84" t="s">
        <v>128</v>
      </c>
      <c r="M29" s="84" t="s">
        <v>302</v>
      </c>
      <c r="N29" s="84" t="s">
        <v>193</v>
      </c>
      <c r="O29" s="84" t="s">
        <v>301</v>
      </c>
      <c r="P29" s="46" t="s">
        <v>144</v>
      </c>
      <c r="Q29" s="47"/>
      <c r="R29" s="22" t="s">
        <v>111</v>
      </c>
      <c r="S29" s="22" t="s">
        <v>117</v>
      </c>
      <c r="T29" s="22" t="s">
        <v>117</v>
      </c>
    </row>
    <row r="30" spans="1:20" s="1" customFormat="1" ht="101.5" x14ac:dyDescent="0.35">
      <c r="A30" s="19" t="s">
        <v>34</v>
      </c>
      <c r="B30" s="43" t="s">
        <v>172</v>
      </c>
      <c r="C30" s="43" t="s">
        <v>153</v>
      </c>
      <c r="D30" s="43" t="s">
        <v>44</v>
      </c>
      <c r="E30" s="43" t="s">
        <v>101</v>
      </c>
      <c r="F30" s="44" t="s">
        <v>43</v>
      </c>
      <c r="G30" s="45">
        <v>3000</v>
      </c>
      <c r="H30" s="20" t="s">
        <v>155</v>
      </c>
      <c r="I30" s="22">
        <v>0.5</v>
      </c>
      <c r="J30" s="21" t="s">
        <v>150</v>
      </c>
      <c r="K30" s="75" t="s">
        <v>88</v>
      </c>
      <c r="L30" s="84" t="s">
        <v>268</v>
      </c>
      <c r="M30" s="84" t="s">
        <v>312</v>
      </c>
      <c r="N30" s="84" t="s">
        <v>131</v>
      </c>
      <c r="O30" s="84" t="s">
        <v>293</v>
      </c>
      <c r="P30" s="20" t="s">
        <v>224</v>
      </c>
      <c r="Q30" s="47"/>
      <c r="R30" s="22">
        <v>2</v>
      </c>
      <c r="S30" s="22" t="s">
        <v>67</v>
      </c>
      <c r="T30" s="24" t="s">
        <v>67</v>
      </c>
    </row>
    <row r="31" spans="1:20" s="1" customFormat="1" ht="72.5" x14ac:dyDescent="0.35">
      <c r="A31" s="50" t="s">
        <v>34</v>
      </c>
      <c r="B31" s="51" t="s">
        <v>168</v>
      </c>
      <c r="C31" s="51" t="s">
        <v>152</v>
      </c>
      <c r="D31" s="51" t="s">
        <v>46</v>
      </c>
      <c r="E31" s="51" t="s">
        <v>96</v>
      </c>
      <c r="F31" s="52" t="s">
        <v>64</v>
      </c>
      <c r="G31" s="53">
        <f>3800+700</f>
        <v>4500</v>
      </c>
      <c r="H31" s="54" t="s">
        <v>155</v>
      </c>
      <c r="I31" s="56">
        <v>1</v>
      </c>
      <c r="J31" s="52" t="s">
        <v>149</v>
      </c>
      <c r="K31" s="80" t="s">
        <v>112</v>
      </c>
      <c r="L31" s="89" t="s">
        <v>123</v>
      </c>
      <c r="M31" s="89" t="s">
        <v>320</v>
      </c>
      <c r="N31" s="89" t="s">
        <v>269</v>
      </c>
      <c r="O31" s="89" t="s">
        <v>321</v>
      </c>
      <c r="P31" s="55" t="s">
        <v>141</v>
      </c>
      <c r="Q31" s="57" t="s">
        <v>158</v>
      </c>
      <c r="R31" s="56">
        <v>1</v>
      </c>
      <c r="S31" s="56" t="s">
        <v>119</v>
      </c>
      <c r="T31" s="52" t="s">
        <v>73</v>
      </c>
    </row>
    <row r="32" spans="1:20" s="1" customFormat="1" ht="58" x14ac:dyDescent="0.35">
      <c r="A32" s="19" t="s">
        <v>180</v>
      </c>
      <c r="B32" s="43" t="s">
        <v>181</v>
      </c>
      <c r="C32" s="43" t="s">
        <v>152</v>
      </c>
      <c r="D32" s="43" t="s">
        <v>44</v>
      </c>
      <c r="E32" s="22" t="s">
        <v>182</v>
      </c>
      <c r="F32" s="44" t="s">
        <v>43</v>
      </c>
      <c r="G32" s="45">
        <v>3500</v>
      </c>
      <c r="H32" s="20" t="s">
        <v>155</v>
      </c>
      <c r="I32" s="22">
        <v>1</v>
      </c>
      <c r="J32" s="21" t="s">
        <v>149</v>
      </c>
      <c r="K32" s="81" t="s">
        <v>75</v>
      </c>
      <c r="L32" s="84" t="s">
        <v>185</v>
      </c>
      <c r="M32" s="84" t="s">
        <v>299</v>
      </c>
      <c r="N32" s="84" t="s">
        <v>183</v>
      </c>
      <c r="O32" s="84" t="s">
        <v>304</v>
      </c>
      <c r="P32" s="46" t="s">
        <v>144</v>
      </c>
      <c r="Q32" s="47"/>
      <c r="R32" s="22">
        <v>2</v>
      </c>
      <c r="S32" s="22" t="s">
        <v>68</v>
      </c>
      <c r="T32" s="22" t="s">
        <v>68</v>
      </c>
    </row>
    <row r="33" spans="1:20" s="1" customFormat="1" ht="87" x14ac:dyDescent="0.35">
      <c r="A33" s="19" t="s">
        <v>180</v>
      </c>
      <c r="B33" s="43" t="s">
        <v>187</v>
      </c>
      <c r="C33" s="43" t="s">
        <v>153</v>
      </c>
      <c r="D33" s="43" t="s">
        <v>44</v>
      </c>
      <c r="E33" s="43" t="s">
        <v>184</v>
      </c>
      <c r="F33" s="44" t="s">
        <v>43</v>
      </c>
      <c r="G33" s="45">
        <v>3500</v>
      </c>
      <c r="H33" s="20" t="s">
        <v>155</v>
      </c>
      <c r="I33" s="22">
        <v>1.5</v>
      </c>
      <c r="J33" s="21" t="s">
        <v>149</v>
      </c>
      <c r="K33" s="81" t="s">
        <v>85</v>
      </c>
      <c r="L33" s="84" t="s">
        <v>148</v>
      </c>
      <c r="M33" s="84" t="s">
        <v>319</v>
      </c>
      <c r="N33" s="84" t="s">
        <v>186</v>
      </c>
      <c r="O33" s="84" t="s">
        <v>318</v>
      </c>
      <c r="P33" s="46" t="s">
        <v>144</v>
      </c>
      <c r="Q33" s="47"/>
      <c r="R33" s="22" t="s">
        <v>66</v>
      </c>
      <c r="S33" s="22" t="s">
        <v>119</v>
      </c>
      <c r="T33" s="22" t="s">
        <v>119</v>
      </c>
    </row>
    <row r="34" spans="1:20" ht="43.5" x14ac:dyDescent="0.35">
      <c r="A34" s="19" t="s">
        <v>180</v>
      </c>
      <c r="B34" s="43" t="s">
        <v>188</v>
      </c>
      <c r="C34" s="43" t="s">
        <v>152</v>
      </c>
      <c r="D34" s="43" t="s">
        <v>189</v>
      </c>
      <c r="E34" s="68" t="s">
        <v>190</v>
      </c>
      <c r="F34" s="44" t="s">
        <v>43</v>
      </c>
      <c r="G34" s="69">
        <v>4150</v>
      </c>
      <c r="H34" s="20" t="s">
        <v>155</v>
      </c>
      <c r="I34" s="15">
        <v>1</v>
      </c>
      <c r="J34" s="21" t="s">
        <v>149</v>
      </c>
      <c r="K34" s="81" t="s">
        <v>116</v>
      </c>
      <c r="L34" s="10" t="s">
        <v>191</v>
      </c>
      <c r="M34" s="10" t="s">
        <v>300</v>
      </c>
      <c r="N34" s="10" t="s">
        <v>192</v>
      </c>
      <c r="O34" s="10" t="s">
        <v>317</v>
      </c>
      <c r="P34" s="46" t="s">
        <v>144</v>
      </c>
      <c r="Q34" s="67"/>
      <c r="R34" s="22">
        <v>2</v>
      </c>
      <c r="S34" s="15" t="s">
        <v>69</v>
      </c>
      <c r="T34" s="22" t="s">
        <v>119</v>
      </c>
    </row>
    <row r="35" spans="1:20" ht="116" x14ac:dyDescent="0.35">
      <c r="A35" s="19" t="s">
        <v>180</v>
      </c>
      <c r="B35" s="43" t="s">
        <v>169</v>
      </c>
      <c r="C35" s="43" t="s">
        <v>153</v>
      </c>
      <c r="D35" s="43" t="s">
        <v>45</v>
      </c>
      <c r="E35" s="68" t="s">
        <v>195</v>
      </c>
      <c r="F35" s="44" t="s">
        <v>43</v>
      </c>
      <c r="G35" s="70">
        <v>2500</v>
      </c>
      <c r="H35" s="20" t="s">
        <v>154</v>
      </c>
      <c r="I35" s="15">
        <v>1</v>
      </c>
      <c r="J35" s="21" t="s">
        <v>149</v>
      </c>
      <c r="K35" s="82" t="s">
        <v>114</v>
      </c>
      <c r="L35" s="10" t="s">
        <v>193</v>
      </c>
      <c r="M35" s="10" t="s">
        <v>301</v>
      </c>
      <c r="N35" s="10" t="s">
        <v>194</v>
      </c>
      <c r="O35" s="10" t="s">
        <v>302</v>
      </c>
      <c r="P35" s="46" t="s">
        <v>144</v>
      </c>
      <c r="Q35" s="67"/>
      <c r="R35" s="15" t="s">
        <v>111</v>
      </c>
      <c r="S35" s="71" t="s">
        <v>117</v>
      </c>
      <c r="T35" s="71" t="s">
        <v>117</v>
      </c>
    </row>
    <row r="36" spans="1:20" ht="87" x14ac:dyDescent="0.35">
      <c r="A36" s="19" t="s">
        <v>180</v>
      </c>
      <c r="B36" s="43" t="s">
        <v>173</v>
      </c>
      <c r="C36" s="43" t="s">
        <v>152</v>
      </c>
      <c r="D36" s="43" t="s">
        <v>45</v>
      </c>
      <c r="E36" s="68" t="s">
        <v>196</v>
      </c>
      <c r="F36" s="21" t="s">
        <v>64</v>
      </c>
      <c r="G36" s="70">
        <v>2500</v>
      </c>
      <c r="H36" s="20" t="s">
        <v>154</v>
      </c>
      <c r="I36" s="15">
        <v>1</v>
      </c>
      <c r="J36" s="21" t="s">
        <v>149</v>
      </c>
      <c r="K36" s="82" t="s">
        <v>114</v>
      </c>
      <c r="L36" s="10" t="s">
        <v>194</v>
      </c>
      <c r="M36" s="10" t="s">
        <v>302</v>
      </c>
      <c r="N36" s="10" t="s">
        <v>193</v>
      </c>
      <c r="O36" s="10" t="s">
        <v>301</v>
      </c>
      <c r="P36" s="46" t="s">
        <v>144</v>
      </c>
      <c r="Q36" s="67"/>
      <c r="R36" s="15" t="s">
        <v>111</v>
      </c>
      <c r="S36" s="71" t="s">
        <v>117</v>
      </c>
      <c r="T36" s="71" t="s">
        <v>117</v>
      </c>
    </row>
    <row r="37" spans="1:20" s="1" customFormat="1" ht="43.5" x14ac:dyDescent="0.35">
      <c r="A37" s="19" t="s">
        <v>180</v>
      </c>
      <c r="B37" s="43" t="s">
        <v>197</v>
      </c>
      <c r="C37" s="43" t="s">
        <v>152</v>
      </c>
      <c r="D37" s="43" t="s">
        <v>45</v>
      </c>
      <c r="E37" s="43" t="s">
        <v>202</v>
      </c>
      <c r="F37" s="21" t="s">
        <v>64</v>
      </c>
      <c r="G37" s="45">
        <v>5406.8</v>
      </c>
      <c r="H37" s="20" t="s">
        <v>156</v>
      </c>
      <c r="I37" s="22">
        <v>1.5</v>
      </c>
      <c r="J37" s="21" t="s">
        <v>149</v>
      </c>
      <c r="K37" s="81" t="s">
        <v>213</v>
      </c>
      <c r="L37" s="84" t="s">
        <v>215</v>
      </c>
      <c r="M37" s="84" t="s">
        <v>303</v>
      </c>
      <c r="N37" s="84" t="s">
        <v>208</v>
      </c>
      <c r="O37" s="84" t="s">
        <v>297</v>
      </c>
      <c r="P37" s="46" t="s">
        <v>147</v>
      </c>
      <c r="Q37" s="47"/>
      <c r="R37" s="22" t="s">
        <v>216</v>
      </c>
      <c r="S37" s="15" t="s">
        <v>69</v>
      </c>
      <c r="T37" s="22" t="s">
        <v>217</v>
      </c>
    </row>
    <row r="38" spans="1:20" s="1" customFormat="1" ht="58" x14ac:dyDescent="0.35">
      <c r="A38" s="19" t="s">
        <v>180</v>
      </c>
      <c r="B38" s="43" t="s">
        <v>38</v>
      </c>
      <c r="C38" s="43" t="s">
        <v>152</v>
      </c>
      <c r="D38" s="43" t="s">
        <v>44</v>
      </c>
      <c r="E38" s="43" t="s">
        <v>203</v>
      </c>
      <c r="F38" s="44" t="s">
        <v>43</v>
      </c>
      <c r="G38" s="45">
        <v>5000</v>
      </c>
      <c r="H38" s="20" t="s">
        <v>155</v>
      </c>
      <c r="I38" s="22">
        <v>2</v>
      </c>
      <c r="J38" s="21" t="s">
        <v>149</v>
      </c>
      <c r="K38" s="81" t="s">
        <v>79</v>
      </c>
      <c r="L38" s="84" t="s">
        <v>209</v>
      </c>
      <c r="M38" s="84" t="s">
        <v>296</v>
      </c>
      <c r="N38" s="84" t="s">
        <v>219</v>
      </c>
      <c r="O38" s="84" t="s">
        <v>316</v>
      </c>
      <c r="P38" s="46" t="s">
        <v>147</v>
      </c>
      <c r="Q38" s="47"/>
      <c r="R38" s="22" t="s">
        <v>65</v>
      </c>
      <c r="S38" s="22" t="s">
        <v>67</v>
      </c>
      <c r="T38" s="22" t="s">
        <v>67</v>
      </c>
    </row>
    <row r="39" spans="1:20" s="1" customFormat="1" ht="87" x14ac:dyDescent="0.35">
      <c r="A39" s="19" t="s">
        <v>180</v>
      </c>
      <c r="B39" s="43" t="s">
        <v>198</v>
      </c>
      <c r="C39" s="43" t="s">
        <v>153</v>
      </c>
      <c r="D39" s="43" t="s">
        <v>46</v>
      </c>
      <c r="E39" s="43" t="s">
        <v>204</v>
      </c>
      <c r="F39" s="21" t="s">
        <v>64</v>
      </c>
      <c r="G39" s="45">
        <v>4800</v>
      </c>
      <c r="H39" s="20" t="s">
        <v>155</v>
      </c>
      <c r="I39" s="22">
        <v>3</v>
      </c>
      <c r="J39" s="21" t="s">
        <v>149</v>
      </c>
      <c r="K39" s="81" t="s">
        <v>85</v>
      </c>
      <c r="L39" s="84" t="s">
        <v>220</v>
      </c>
      <c r="M39" s="84" t="s">
        <v>339</v>
      </c>
      <c r="N39" s="84" t="s">
        <v>210</v>
      </c>
      <c r="O39" s="84" t="s">
        <v>298</v>
      </c>
      <c r="P39" s="46" t="s">
        <v>147</v>
      </c>
      <c r="Q39" s="47"/>
      <c r="R39" s="22">
        <v>2</v>
      </c>
      <c r="S39" s="22" t="s">
        <v>70</v>
      </c>
      <c r="T39" s="22" t="s">
        <v>70</v>
      </c>
    </row>
    <row r="40" spans="1:20" s="1" customFormat="1" ht="58" x14ac:dyDescent="0.35">
      <c r="A40" s="19" t="s">
        <v>180</v>
      </c>
      <c r="B40" s="43" t="s">
        <v>199</v>
      </c>
      <c r="C40" s="43" t="s">
        <v>152</v>
      </c>
      <c r="D40" s="43" t="s">
        <v>44</v>
      </c>
      <c r="E40" s="43" t="s">
        <v>205</v>
      </c>
      <c r="F40" s="44" t="s">
        <v>43</v>
      </c>
      <c r="G40" s="45">
        <v>5000</v>
      </c>
      <c r="H40" s="20" t="s">
        <v>155</v>
      </c>
      <c r="I40" s="22">
        <v>3</v>
      </c>
      <c r="J40" s="21" t="s">
        <v>149</v>
      </c>
      <c r="K40" s="82" t="s">
        <v>75</v>
      </c>
      <c r="L40" s="84" t="s">
        <v>211</v>
      </c>
      <c r="M40" s="84" t="s">
        <v>297</v>
      </c>
      <c r="N40" s="84" t="s">
        <v>221</v>
      </c>
      <c r="O40" s="84" t="s">
        <v>315</v>
      </c>
      <c r="P40" s="46" t="s">
        <v>147</v>
      </c>
      <c r="Q40" s="47"/>
      <c r="R40" s="22">
        <v>2</v>
      </c>
      <c r="S40" s="15" t="s">
        <v>69</v>
      </c>
      <c r="T40" s="22" t="s">
        <v>70</v>
      </c>
    </row>
    <row r="41" spans="1:20" s="1" customFormat="1" ht="87" x14ac:dyDescent="0.35">
      <c r="A41" s="19" t="s">
        <v>180</v>
      </c>
      <c r="B41" s="43" t="s">
        <v>200</v>
      </c>
      <c r="C41" s="43" t="s">
        <v>152</v>
      </c>
      <c r="D41" s="43" t="s">
        <v>45</v>
      </c>
      <c r="E41" s="43" t="s">
        <v>206</v>
      </c>
      <c r="F41" s="21" t="s">
        <v>64</v>
      </c>
      <c r="G41" s="45">
        <v>5000</v>
      </c>
      <c r="H41" s="20" t="s">
        <v>155</v>
      </c>
      <c r="I41" s="22">
        <v>1</v>
      </c>
      <c r="J41" s="21" t="s">
        <v>149</v>
      </c>
      <c r="K41" s="82" t="s">
        <v>76</v>
      </c>
      <c r="L41" s="84" t="s">
        <v>222</v>
      </c>
      <c r="M41" s="84" t="s">
        <v>314</v>
      </c>
      <c r="N41" s="84" t="s">
        <v>212</v>
      </c>
      <c r="O41" s="84" t="s">
        <v>312</v>
      </c>
      <c r="P41" s="46" t="s">
        <v>147</v>
      </c>
      <c r="Q41" s="47"/>
      <c r="R41" s="22" t="s">
        <v>66</v>
      </c>
      <c r="S41" s="15" t="s">
        <v>69</v>
      </c>
      <c r="T41" s="71" t="s">
        <v>223</v>
      </c>
    </row>
    <row r="42" spans="1:20" s="1" customFormat="1" ht="101.5" x14ac:dyDescent="0.35">
      <c r="A42" s="19" t="s">
        <v>180</v>
      </c>
      <c r="B42" s="43" t="s">
        <v>201</v>
      </c>
      <c r="C42" s="43" t="s">
        <v>153</v>
      </c>
      <c r="D42" s="43" t="s">
        <v>44</v>
      </c>
      <c r="E42" s="43" t="s">
        <v>207</v>
      </c>
      <c r="F42" s="21" t="s">
        <v>64</v>
      </c>
      <c r="G42" s="45">
        <v>2500</v>
      </c>
      <c r="H42" s="20" t="s">
        <v>154</v>
      </c>
      <c r="I42" s="22">
        <v>1</v>
      </c>
      <c r="J42" s="21" t="s">
        <v>149</v>
      </c>
      <c r="K42" s="81" t="s">
        <v>214</v>
      </c>
      <c r="L42" s="84" t="s">
        <v>209</v>
      </c>
      <c r="M42" s="84" t="s">
        <v>341</v>
      </c>
      <c r="N42" s="84" t="s">
        <v>268</v>
      </c>
      <c r="O42" s="84" t="s">
        <v>312</v>
      </c>
      <c r="P42" s="20" t="s">
        <v>225</v>
      </c>
      <c r="Q42" s="47"/>
      <c r="R42" s="22">
        <v>1</v>
      </c>
      <c r="S42" s="22" t="s">
        <v>89</v>
      </c>
      <c r="T42" s="22" t="s">
        <v>89</v>
      </c>
    </row>
    <row r="43" spans="1:20" s="1" customFormat="1" ht="72.5" x14ac:dyDescent="0.35">
      <c r="A43" s="19" t="s">
        <v>180</v>
      </c>
      <c r="B43" s="43" t="s">
        <v>229</v>
      </c>
      <c r="C43" s="43" t="s">
        <v>152</v>
      </c>
      <c r="D43" s="43" t="s">
        <v>44</v>
      </c>
      <c r="E43" s="43" t="s">
        <v>227</v>
      </c>
      <c r="F43" s="21" t="s">
        <v>64</v>
      </c>
      <c r="G43" s="45">
        <v>5626</v>
      </c>
      <c r="H43" s="20" t="s">
        <v>156</v>
      </c>
      <c r="I43" s="22">
        <v>2</v>
      </c>
      <c r="J43" s="21" t="s">
        <v>149</v>
      </c>
      <c r="K43" s="82" t="s">
        <v>88</v>
      </c>
      <c r="L43" s="84" t="s">
        <v>268</v>
      </c>
      <c r="M43" s="84" t="s">
        <v>293</v>
      </c>
      <c r="N43" s="84" t="s">
        <v>230</v>
      </c>
      <c r="O43" s="84" t="s">
        <v>313</v>
      </c>
      <c r="P43" s="46" t="s">
        <v>224</v>
      </c>
      <c r="Q43" s="47"/>
      <c r="R43" s="22">
        <v>2</v>
      </c>
      <c r="S43" s="22" t="s">
        <v>67</v>
      </c>
      <c r="T43" s="22" t="s">
        <v>67</v>
      </c>
    </row>
    <row r="44" spans="1:20" s="1" customFormat="1" ht="188.5" x14ac:dyDescent="0.35">
      <c r="A44" s="19" t="s">
        <v>180</v>
      </c>
      <c r="B44" s="43" t="s">
        <v>226</v>
      </c>
      <c r="C44" s="43" t="s">
        <v>152</v>
      </c>
      <c r="D44" s="43" t="s">
        <v>47</v>
      </c>
      <c r="E44" s="43" t="s">
        <v>228</v>
      </c>
      <c r="F44" s="21" t="s">
        <v>64</v>
      </c>
      <c r="G44" s="45">
        <v>5700</v>
      </c>
      <c r="H44" s="20" t="s">
        <v>156</v>
      </c>
      <c r="I44" s="22">
        <v>3</v>
      </c>
      <c r="J44" s="21" t="s">
        <v>149</v>
      </c>
      <c r="K44" s="82" t="s">
        <v>88</v>
      </c>
      <c r="L44" s="84" t="s">
        <v>231</v>
      </c>
      <c r="M44" s="84" t="s">
        <v>293</v>
      </c>
      <c r="N44" s="84" t="s">
        <v>268</v>
      </c>
      <c r="O44" s="84" t="s">
        <v>312</v>
      </c>
      <c r="P44" s="46" t="s">
        <v>224</v>
      </c>
      <c r="Q44" s="47"/>
      <c r="R44" s="22">
        <v>2</v>
      </c>
      <c r="S44" s="22" t="s">
        <v>232</v>
      </c>
      <c r="T44" s="22" t="s">
        <v>232</v>
      </c>
    </row>
    <row r="45" spans="1:20" s="1" customFormat="1" ht="87" x14ac:dyDescent="0.35">
      <c r="A45" s="19" t="s">
        <v>180</v>
      </c>
      <c r="B45" s="43" t="s">
        <v>233</v>
      </c>
      <c r="C45" s="43" t="s">
        <v>152</v>
      </c>
      <c r="D45" s="43" t="s">
        <v>47</v>
      </c>
      <c r="E45" s="43" t="s">
        <v>234</v>
      </c>
      <c r="F45" s="21" t="s">
        <v>64</v>
      </c>
      <c r="G45" s="45">
        <v>6000</v>
      </c>
      <c r="H45" s="20" t="s">
        <v>156</v>
      </c>
      <c r="I45" s="22">
        <v>1</v>
      </c>
      <c r="J45" s="21" t="s">
        <v>149</v>
      </c>
      <c r="K45" s="82" t="s">
        <v>237</v>
      </c>
      <c r="L45" s="84" t="s">
        <v>235</v>
      </c>
      <c r="M45" s="84" t="s">
        <v>311</v>
      </c>
      <c r="N45" s="84" t="s">
        <v>236</v>
      </c>
      <c r="O45" s="84" t="s">
        <v>310</v>
      </c>
      <c r="P45" s="46" t="s">
        <v>161</v>
      </c>
      <c r="Q45" s="47"/>
      <c r="R45" s="22">
        <v>1</v>
      </c>
      <c r="S45" s="22" t="s">
        <v>238</v>
      </c>
      <c r="T45" s="22" t="s">
        <v>239</v>
      </c>
    </row>
    <row r="46" spans="1:20" s="1" customFormat="1" ht="58" x14ac:dyDescent="0.35">
      <c r="A46" s="19" t="s">
        <v>180</v>
      </c>
      <c r="B46" s="43" t="s">
        <v>241</v>
      </c>
      <c r="C46" s="43" t="s">
        <v>153</v>
      </c>
      <c r="D46" s="43" t="s">
        <v>45</v>
      </c>
      <c r="E46" s="43" t="s">
        <v>240</v>
      </c>
      <c r="F46" s="21" t="s">
        <v>64</v>
      </c>
      <c r="G46" s="45">
        <v>3800</v>
      </c>
      <c r="H46" s="20" t="s">
        <v>155</v>
      </c>
      <c r="I46" s="22">
        <v>1</v>
      </c>
      <c r="J46" s="21" t="s">
        <v>149</v>
      </c>
      <c r="K46" s="82" t="s">
        <v>85</v>
      </c>
      <c r="L46" s="84" t="s">
        <v>244</v>
      </c>
      <c r="M46" s="84" t="s">
        <v>307</v>
      </c>
      <c r="N46" s="84" t="s">
        <v>242</v>
      </c>
      <c r="O46" s="84" t="s">
        <v>309</v>
      </c>
      <c r="P46" s="46" t="s">
        <v>243</v>
      </c>
      <c r="Q46" s="47"/>
      <c r="R46" s="22" t="s">
        <v>66</v>
      </c>
      <c r="S46" s="22" t="s">
        <v>84</v>
      </c>
      <c r="T46" s="22" t="s">
        <v>84</v>
      </c>
    </row>
    <row r="47" spans="1:20" s="1" customFormat="1" ht="29" x14ac:dyDescent="0.35">
      <c r="A47" s="19" t="s">
        <v>180</v>
      </c>
      <c r="B47" s="43" t="s">
        <v>245</v>
      </c>
      <c r="C47" s="43" t="s">
        <v>152</v>
      </c>
      <c r="D47" s="43" t="s">
        <v>44</v>
      </c>
      <c r="E47" s="43" t="s">
        <v>246</v>
      </c>
      <c r="F47" s="44" t="s">
        <v>43</v>
      </c>
      <c r="G47" s="45">
        <v>5500</v>
      </c>
      <c r="H47" s="20" t="s">
        <v>156</v>
      </c>
      <c r="I47" s="22">
        <v>1</v>
      </c>
      <c r="J47" s="21" t="s">
        <v>149</v>
      </c>
      <c r="K47" s="82" t="s">
        <v>249</v>
      </c>
      <c r="L47" s="84" t="s">
        <v>247</v>
      </c>
      <c r="M47" s="84" t="s">
        <v>306</v>
      </c>
      <c r="N47" s="84" t="s">
        <v>250</v>
      </c>
      <c r="O47" s="84" t="s">
        <v>305</v>
      </c>
      <c r="P47" s="46" t="s">
        <v>248</v>
      </c>
      <c r="Q47" s="47"/>
      <c r="R47" s="22" t="s">
        <v>66</v>
      </c>
      <c r="S47" s="22" t="s">
        <v>69</v>
      </c>
      <c r="T47" s="22" t="s">
        <v>69</v>
      </c>
    </row>
    <row r="48" spans="1:20" s="1" customFormat="1" ht="43.5" x14ac:dyDescent="0.35">
      <c r="A48" s="19" t="s">
        <v>180</v>
      </c>
      <c r="B48" s="43" t="s">
        <v>252</v>
      </c>
      <c r="C48" s="43" t="s">
        <v>152</v>
      </c>
      <c r="D48" s="43" t="s">
        <v>44</v>
      </c>
      <c r="E48" s="43" t="s">
        <v>251</v>
      </c>
      <c r="F48" s="44" t="s">
        <v>43</v>
      </c>
      <c r="G48" s="45">
        <v>2500</v>
      </c>
      <c r="H48" s="20" t="s">
        <v>154</v>
      </c>
      <c r="I48" s="22">
        <v>1</v>
      </c>
      <c r="J48" s="21" t="s">
        <v>149</v>
      </c>
      <c r="K48" s="82" t="s">
        <v>75</v>
      </c>
      <c r="L48" s="84" t="s">
        <v>267</v>
      </c>
      <c r="M48" s="84" t="s">
        <v>296</v>
      </c>
      <c r="N48" s="84" t="s">
        <v>255</v>
      </c>
      <c r="O48" s="84" t="s">
        <v>304</v>
      </c>
      <c r="P48" s="46" t="s">
        <v>146</v>
      </c>
      <c r="Q48" s="47"/>
      <c r="R48" s="22" t="s">
        <v>66</v>
      </c>
      <c r="S48" s="22" t="s">
        <v>68</v>
      </c>
      <c r="T48" s="22" t="s">
        <v>68</v>
      </c>
    </row>
    <row r="50" spans="7:8" x14ac:dyDescent="0.35">
      <c r="G50" s="73">
        <f>SUM(G2:G48)</f>
        <v>201577.8</v>
      </c>
      <c r="H50" s="74" t="s">
        <v>253</v>
      </c>
    </row>
    <row r="51" spans="7:8" x14ac:dyDescent="0.35">
      <c r="G51" s="72">
        <f>G50-(G3+G15)</f>
        <v>193772.79999999999</v>
      </c>
      <c r="H51" s="74" t="s">
        <v>254</v>
      </c>
    </row>
  </sheetData>
  <autoFilter ref="A1:T48" xr:uid="{753AB9DC-B069-401D-B098-CE245C7A2CCB}">
    <sortState xmlns:xlrd2="http://schemas.microsoft.com/office/spreadsheetml/2017/richdata2" ref="A2:T31">
      <sortCondition ref="A2:A31"/>
      <sortCondition ref="B2:B31"/>
    </sortState>
  </autoFilter>
  <sortState xmlns:xlrd2="http://schemas.microsoft.com/office/spreadsheetml/2017/richdata2" ref="A2:T31">
    <sortCondition ref="J2:J31"/>
    <sortCondition ref="I2:I3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Excel_type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Joigneau</dc:creator>
  <cp:lastModifiedBy>JEROME DUTRONCY</cp:lastModifiedBy>
  <dcterms:created xsi:type="dcterms:W3CDTF">2015-06-05T18:19:34Z</dcterms:created>
  <dcterms:modified xsi:type="dcterms:W3CDTF">2026-01-13T11:47:19Z</dcterms:modified>
</cp:coreProperties>
</file>