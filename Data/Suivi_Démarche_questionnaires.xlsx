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utroncj\Documents\Projets\SLAM-B\"/>
    </mc:Choice>
  </mc:AlternateContent>
  <xr:revisionPtr revIDLastSave="0" documentId="13_ncr:1_{45791142-7C67-431C-A751-A96A81EBB5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1" i="1" l="1"/>
  <c r="P31" i="1"/>
  <c r="L31" i="1"/>
  <c r="K31" i="1"/>
</calcChain>
</file>

<file path=xl/sharedStrings.xml><?xml version="1.0" encoding="utf-8"?>
<sst xmlns="http://schemas.openxmlformats.org/spreadsheetml/2006/main" count="266" uniqueCount="165">
  <si>
    <t>1.2 Incertitudes</t>
  </si>
  <si>
    <t>1.1 Couplage modèles</t>
  </si>
  <si>
    <t>1.3 ACV territoriale et limites planétaires</t>
  </si>
  <si>
    <t>1.4a Matériaux biosourcés</t>
  </si>
  <si>
    <t>1.4b Bioraffineries</t>
  </si>
  <si>
    <t>1.5 Modèle d'élevage</t>
  </si>
  <si>
    <t>1.6a Optimisation spatiale des filières</t>
  </si>
  <si>
    <t>1.6b Réseaux d'accointances entre agents</t>
  </si>
  <si>
    <t>1.7 Modèle d'agroforesterie &amp; prairie</t>
  </si>
  <si>
    <t>1.11 Pluralité des discours</t>
  </si>
  <si>
    <t>2.1 Grand Reims</t>
  </si>
  <si>
    <t>2.2 Vosges Agriculture &amp; Forêt</t>
  </si>
  <si>
    <t>2.3 Zone Atelier Armorique - Biodiversité et neutralité C</t>
  </si>
  <si>
    <t>2.4 Nord Vaucluse - Eau Carbone - Alimentation</t>
  </si>
  <si>
    <t>2.5 La Réunion - Souveraineté alimentaire</t>
  </si>
  <si>
    <t>2.6 Sénégal - Système agrosylvopastoraux</t>
  </si>
  <si>
    <t>2.7 Guadeloupe - Recyclage déchets urbains et fertilité des sols</t>
  </si>
  <si>
    <t>3.1 Indicateurs clés de performance</t>
  </si>
  <si>
    <t>3.2 Couverture des sols nus</t>
  </si>
  <si>
    <t>3.3 Résidus de culture et bioéconomie</t>
  </si>
  <si>
    <t>3.5 Intensification durable de l'agriculture niveau UE</t>
  </si>
  <si>
    <t>3.6 Forêt et bois en France</t>
  </si>
  <si>
    <t>3.7 Potentiels production /besoins de biogaz au niveau UE</t>
  </si>
  <si>
    <t>GT1 : IAM Territoriale</t>
  </si>
  <si>
    <t>GT2 : Scénario lab</t>
  </si>
  <si>
    <t>GT3 : Bioéconomie France / UE</t>
  </si>
  <si>
    <t>SLAM-B - Tâches</t>
  </si>
  <si>
    <t>Types de données</t>
  </si>
  <si>
    <t>Méthodologie informatique</t>
  </si>
  <si>
    <t>Niveau de maturité</t>
  </si>
  <si>
    <t>Très avancé</t>
  </si>
  <si>
    <t>Pas commencé</t>
  </si>
  <si>
    <t>Avancé</t>
  </si>
  <si>
    <t>Démarrage</t>
  </si>
  <si>
    <t>1.10 Performance économique des chaines de valeur</t>
  </si>
  <si>
    <t>Amorcé</t>
  </si>
  <si>
    <t>Très avancé - publication en cours</t>
  </si>
  <si>
    <t>Finalisé</t>
  </si>
  <si>
    <t xml:space="preserve">Gradation : </t>
  </si>
  <si>
    <t>3.4 Fonctionnement énergétique des systèmes agricoles</t>
  </si>
  <si>
    <t>Avancé - publication en cours</t>
  </si>
  <si>
    <t xml:space="preserve"> - </t>
  </si>
  <si>
    <t>Plan de simulation, méthodologie informatique</t>
  </si>
  <si>
    <t>Inventaires de cycle de vie</t>
  </si>
  <si>
    <t>Ontologie, Base de connaissance</t>
  </si>
  <si>
    <t>Bases de données, modèles</t>
  </si>
  <si>
    <t>Méthodologie</t>
  </si>
  <si>
    <t>Ateliers, connaissances et références</t>
  </si>
  <si>
    <t>?</t>
  </si>
  <si>
    <t>Bases de données</t>
  </si>
  <si>
    <t>Modèles, bases de données</t>
  </si>
  <si>
    <t>Bases de données, données d'enquêtes, modèles</t>
  </si>
  <si>
    <t>Bases de données, données d'enquêtes</t>
  </si>
  <si>
    <t>Base de connaissances</t>
  </si>
  <si>
    <t>Base de données aggrégée à partir de BDD existantes</t>
  </si>
  <si>
    <t>Modèle</t>
  </si>
  <si>
    <t>Base de données</t>
  </si>
  <si>
    <t>enquêtes, entretiens</t>
  </si>
  <si>
    <t>Base de données, méthodologie</t>
  </si>
  <si>
    <t>Nature des données</t>
  </si>
  <si>
    <t>Quanti</t>
  </si>
  <si>
    <t>Quanti/quali</t>
  </si>
  <si>
    <t>Base de données, méthodologie, modèle</t>
  </si>
  <si>
    <t>Quali</t>
  </si>
  <si>
    <t>3.8 Déploiement MAELIA échelle France</t>
  </si>
  <si>
    <t>Benoit.Gaudou@ut-capitole.fr</t>
  </si>
  <si>
    <t>patrice.buche@inrae.fr</t>
  </si>
  <si>
    <t>jonathan.vayssieres@cirad.Fr</t>
  </si>
  <si>
    <t>olivier.therond@inrae.fr</t>
  </si>
  <si>
    <t>petros.chatzimpiros@u-paris.fr</t>
  </si>
  <si>
    <t>antonello.lobianco@inrae.fr</t>
  </si>
  <si>
    <t>Lancement Démarche</t>
  </si>
  <si>
    <t>Liste emails</t>
  </si>
  <si>
    <t>OUI</t>
  </si>
  <si>
    <t>lorie.hamelin@insa-toulouse.fr
kbertin@insa-toulouse.fr</t>
  </si>
  <si>
    <t>Envoi questionnaire(s)</t>
  </si>
  <si>
    <t>Relances</t>
  </si>
  <si>
    <t>suzon.garnier@inrae.fr
jean-marc.blazy@inrae.fr
carla.barlagne@inrae.fr</t>
  </si>
  <si>
    <t>wasim.ahmed@inrae.fr
julie.jimenez@inrae.fr</t>
  </si>
  <si>
    <t>helene.raynal@inrae.fr
hugues.clivot@inrae.fr
julie.constantin@inrae.fr 
hugo.senges@inrae.fr</t>
  </si>
  <si>
    <t>Tâche</t>
  </si>
  <si>
    <t xml:space="preserve">1.1 </t>
  </si>
  <si>
    <t xml:space="preserve">1.2 </t>
  </si>
  <si>
    <t>1.3</t>
  </si>
  <si>
    <t>1.4a</t>
  </si>
  <si>
    <t>1.4b</t>
  </si>
  <si>
    <t>1.5</t>
  </si>
  <si>
    <t>1.6a</t>
  </si>
  <si>
    <t>1.6b</t>
  </si>
  <si>
    <t>1.7</t>
  </si>
  <si>
    <t>1.10</t>
  </si>
  <si>
    <t>1.11</t>
  </si>
  <si>
    <t>2.1</t>
  </si>
  <si>
    <t>2.2</t>
  </si>
  <si>
    <t>2.3</t>
  </si>
  <si>
    <t>2.4</t>
  </si>
  <si>
    <t>2.5</t>
  </si>
  <si>
    <t>2.6</t>
  </si>
  <si>
    <t>2.7</t>
  </si>
  <si>
    <t>3.1</t>
  </si>
  <si>
    <t>3.2</t>
  </si>
  <si>
    <t>3.3</t>
  </si>
  <si>
    <t>3.4</t>
  </si>
  <si>
    <t>3.5</t>
  </si>
  <si>
    <t>3.6</t>
  </si>
  <si>
    <t>3.7</t>
  </si>
  <si>
    <t>3.8</t>
  </si>
  <si>
    <t>NON</t>
  </si>
  <si>
    <t>baptistelesquoy@protonmail.com
alexis.drogoul@ird.fr</t>
  </si>
  <si>
    <t>wafa.malik@cirad.fr
gabin.guillemaud@inrae.fr
eleonore.loiseau@inrae.fr</t>
  </si>
  <si>
    <t>jeremy.pantet@inrae.fr
pierre.thiriet@inrae.fr</t>
  </si>
  <si>
    <t>tiziano.maisonhaute@lirmm.fr
fmichel@lirmm.fr
jean-christophe.soulie@cirad.fr</t>
  </si>
  <si>
    <t>clemence.ravier@inrae.fr
hugues.clivot@inrae.fr</t>
  </si>
  <si>
    <t>simon.charriere@inrae.fr
Fabrice.flamain@inrae.fr 
Guillaume.pouget@inrae.fr
Claude.doussan@inrae.fr
Annette.berard@inrae.fr 
celine.pelosi@inrae.fr
dominique.courault@inrae.fr</t>
  </si>
  <si>
    <t>samba.diaw@esp.sn
Jean-Luc.Chotte@ird.fr
dominique.masse@ird.fr
alassane.bah@gmail.com</t>
  </si>
  <si>
    <t>julie.wohlfahrt@inrae.fr
agathe.souiry@inrae.fr
patrice.buche@inrae.fr
helene.coussy@umontpellier.fr
Sara.HANY@grandreims.fr
Michel.ZAEGEL@grandreims.fr
cedric.baudrit@inrae.fr
melanie.munch@inrae.fr
bernard.kurek@inrae.fr</t>
  </si>
  <si>
    <t>timothee.fouqueray@univ-rennes.fr
valerie.viaud@inrae.fr
thomas.houet@univ-rennes2.fr</t>
  </si>
  <si>
    <t>ludovic.harter@ird.fr
julia.lenoe@ird.fr</t>
  </si>
  <si>
    <t>ugo.javourez@inrae.fr
olivier.therond@inrae.fr</t>
  </si>
  <si>
    <t>Ahmed Wasim</t>
  </si>
  <si>
    <t>Agathe Souiry</t>
  </si>
  <si>
    <t>Jean-denis Mathias</t>
  </si>
  <si>
    <t>sandrine.allain@inrae.fr
Marc Girard
laurent.saint-andre@inrae.fr
jean-denis.mathias@inrae.fr</t>
  </si>
  <si>
    <t>laurent.saint-andre@inrae.fr
sandrine.allain@inrae.fr</t>
  </si>
  <si>
    <t>Sandrine Allain</t>
  </si>
  <si>
    <t>Jean-denis Mathias
Sandrine Allain</t>
  </si>
  <si>
    <t>Pierre Thiriet</t>
  </si>
  <si>
    <t>Céline Pelosi</t>
  </si>
  <si>
    <t>Ugo Javourez</t>
  </si>
  <si>
    <t>Gabin Guillemaud
Eleonore Loiseau</t>
  </si>
  <si>
    <t>1
0,2</t>
  </si>
  <si>
    <t>0,2
1</t>
  </si>
  <si>
    <t>Baptiste Lesquoy</t>
  </si>
  <si>
    <t>Réponses Données au 9/9/2025</t>
  </si>
  <si>
    <t>Nombre de réponses Données</t>
  </si>
  <si>
    <t>Réponses Logiciels au 9/9/2025</t>
  </si>
  <si>
    <t>Nombre de réponses Logiciels</t>
  </si>
  <si>
    <t>Hugo Senges</t>
  </si>
  <si>
    <t>Thimothee Fouqueray</t>
  </si>
  <si>
    <t>pas concerné</t>
  </si>
  <si>
    <t>Suzon Garnier</t>
  </si>
  <si>
    <t>Julia Le Noe
Ludovic Harter</t>
  </si>
  <si>
    <t>Détails</t>
  </si>
  <si>
    <t>Intitulés données</t>
  </si>
  <si>
    <t>AD RESULTS</t>
  </si>
  <si>
    <t>scenario enr</t>
  </si>
  <si>
    <t>RETRANSCRIPTIONS D'ENTRETIENS SEMI-DIRECTIFS</t>
  </si>
  <si>
    <t xml:space="preserve">
MATERIAUX ENTRETIENS SUPPLEMENTAIRES</t>
  </si>
  <si>
    <t>Description de la filière optimisée spatialement</t>
  </si>
  <si>
    <t>Rotations culturales</t>
  </si>
  <si>
    <t>PROJET_SIMAPRO_ACVT_REUNION
DONNEES D'INVENTAIRES DU CYCLE DE VIE</t>
  </si>
  <si>
    <t>EuroSoil_STICS</t>
  </si>
  <si>
    <t>REGISTRE PARCELLAIRE GRAPHIQUE</t>
  </si>
  <si>
    <t xml:space="preserve">
TERRITORIAL NITROGEN FLOWS AND METABOLIC TYPOLOGIES OF EU AGRI-FOOD SYSTEMS, 1990–2019</t>
  </si>
  <si>
    <t>Nombre Répondants Données</t>
  </si>
  <si>
    <t>Nombre Répondants Logiciels</t>
  </si>
  <si>
    <t>Détails Logiciels</t>
  </si>
  <si>
    <t>Intitulés Logiciels</t>
  </si>
  <si>
    <t>SYSMETHA-MATLAB</t>
  </si>
  <si>
    <t>OPTISLAM</t>
  </si>
  <si>
    <t>Agent forestier</t>
  </si>
  <si>
    <t>ROTATIONS_CULTURE_FRANCE</t>
  </si>
  <si>
    <t>Ludovic Harter</t>
  </si>
  <si>
    <t>EUagri-MetaN</t>
  </si>
  <si>
    <t>environ 50 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</si>
</sst>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ba.diaw@esp.sn" TargetMode="External"/><Relationship Id="rId3" Type="http://schemas.openxmlformats.org/officeDocument/2006/relationships/hyperlink" Target="mailto:clemence.ravier@inrae.fr" TargetMode="External"/><Relationship Id="rId7" Type="http://schemas.openxmlformats.org/officeDocument/2006/relationships/hyperlink" Target="mailto:wasim.ahmed@inrae.f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eremy.pantet@inrae.fr" TargetMode="External"/><Relationship Id="rId1" Type="http://schemas.openxmlformats.org/officeDocument/2006/relationships/hyperlink" Target="mailto:baptistelesquoy@protonmail.com" TargetMode="External"/><Relationship Id="rId6" Type="http://schemas.openxmlformats.org/officeDocument/2006/relationships/hyperlink" Target="mailto:suzon.garnier@inrae.fr" TargetMode="External"/><Relationship Id="rId11" Type="http://schemas.openxmlformats.org/officeDocument/2006/relationships/hyperlink" Target="mailto:laurent.saint-andre@inrae.fr" TargetMode="External"/><Relationship Id="rId5" Type="http://schemas.openxmlformats.org/officeDocument/2006/relationships/hyperlink" Target="mailto:ludovic.harter@ird.fr" TargetMode="External"/><Relationship Id="rId10" Type="http://schemas.openxmlformats.org/officeDocument/2006/relationships/hyperlink" Target="mailto:Benoit.Gaudou@ut-capitole.fr" TargetMode="External"/><Relationship Id="rId4" Type="http://schemas.openxmlformats.org/officeDocument/2006/relationships/hyperlink" Target="mailto:simon.charriere@inrae.fr" TargetMode="External"/><Relationship Id="rId9" Type="http://schemas.openxmlformats.org/officeDocument/2006/relationships/hyperlink" Target="mailto:tiziano.maisonhaute@lirmm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topLeftCell="E22" zoomScaleNormal="100" workbookViewId="0">
      <selection activeCell="I37" sqref="I37"/>
    </sheetView>
  </sheetViews>
  <sheetFormatPr baseColWidth="10" defaultColWidth="9.1796875" defaultRowHeight="14.5" x14ac:dyDescent="0.35"/>
  <cols>
    <col min="1" max="1" width="43.7265625" style="4" customWidth="1"/>
    <col min="2" max="2" width="28.1796875" style="4" customWidth="1"/>
    <col min="3" max="3" width="46.54296875" style="4" customWidth="1"/>
    <col min="4" max="5" width="34.36328125" style="4" customWidth="1"/>
    <col min="6" max="6" width="30.7265625" style="4" customWidth="1"/>
    <col min="7" max="7" width="22" style="4" customWidth="1"/>
    <col min="8" max="9" width="36.1796875" style="4" customWidth="1"/>
    <col min="10" max="10" width="36.1796875" style="18" customWidth="1"/>
    <col min="11" max="11" width="30.54296875" style="4" customWidth="1"/>
    <col min="12" max="12" width="36.1796875" style="18" customWidth="1"/>
    <col min="13" max="13" width="17.90625" style="18" customWidth="1"/>
    <col min="14" max="14" width="68.08984375" style="18" customWidth="1"/>
    <col min="15" max="15" width="36.1796875" style="18" customWidth="1"/>
    <col min="16" max="16" width="37.90625" style="4" customWidth="1"/>
    <col min="17" max="17" width="36.1796875" style="18" customWidth="1"/>
    <col min="18" max="18" width="17.90625" style="18" customWidth="1"/>
    <col min="19" max="19" width="68.08984375" style="18" customWidth="1"/>
    <col min="20" max="21" width="9.1796875" style="4"/>
    <col min="22" max="22" width="12.08984375" style="4" customWidth="1"/>
    <col min="23" max="16384" width="9.1796875" style="4"/>
  </cols>
  <sheetData>
    <row r="1" spans="1:19" ht="37" x14ac:dyDescent="0.35">
      <c r="A1" s="28" t="s">
        <v>26</v>
      </c>
      <c r="B1" s="28" t="s">
        <v>29</v>
      </c>
      <c r="C1" s="28" t="s">
        <v>27</v>
      </c>
      <c r="D1" s="28" t="s">
        <v>59</v>
      </c>
      <c r="E1" s="28" t="s">
        <v>80</v>
      </c>
      <c r="F1" s="28" t="s">
        <v>71</v>
      </c>
      <c r="G1" s="28" t="s">
        <v>76</v>
      </c>
      <c r="H1" s="28" t="s">
        <v>75</v>
      </c>
      <c r="I1" s="28" t="s">
        <v>72</v>
      </c>
      <c r="J1" s="14" t="s">
        <v>133</v>
      </c>
      <c r="K1" s="11" t="s">
        <v>154</v>
      </c>
      <c r="L1" s="14" t="s">
        <v>134</v>
      </c>
      <c r="M1" s="14" t="s">
        <v>142</v>
      </c>
      <c r="N1" s="14" t="s">
        <v>143</v>
      </c>
      <c r="O1" s="27" t="s">
        <v>135</v>
      </c>
      <c r="P1" s="26" t="s">
        <v>155</v>
      </c>
      <c r="Q1" s="27" t="s">
        <v>136</v>
      </c>
      <c r="R1" s="27" t="s">
        <v>156</v>
      </c>
      <c r="S1" s="27" t="s">
        <v>157</v>
      </c>
    </row>
    <row r="2" spans="1:19" ht="21" customHeight="1" x14ac:dyDescent="0.35">
      <c r="A2" s="5" t="s">
        <v>23</v>
      </c>
      <c r="B2" s="6"/>
      <c r="C2" s="6"/>
      <c r="D2" s="6"/>
      <c r="E2" s="6"/>
      <c r="F2" s="6"/>
      <c r="G2" s="6"/>
      <c r="H2" s="6"/>
      <c r="I2" s="6"/>
      <c r="J2" s="15"/>
      <c r="K2" s="6"/>
      <c r="L2" s="15"/>
      <c r="M2" s="15"/>
      <c r="N2" s="15"/>
      <c r="O2" s="15"/>
      <c r="P2" s="6"/>
      <c r="Q2" s="15"/>
      <c r="R2" s="15"/>
      <c r="S2" s="15"/>
    </row>
    <row r="3" spans="1:19" ht="29" x14ac:dyDescent="0.35">
      <c r="A3" s="7" t="s">
        <v>1</v>
      </c>
      <c r="B3" s="7" t="s">
        <v>30</v>
      </c>
      <c r="C3" s="7" t="s">
        <v>28</v>
      </c>
      <c r="D3" s="7" t="s">
        <v>60</v>
      </c>
      <c r="E3" s="3" t="s">
        <v>81</v>
      </c>
      <c r="F3" s="3" t="s">
        <v>73</v>
      </c>
      <c r="G3" s="3">
        <v>0</v>
      </c>
      <c r="H3" s="3" t="s">
        <v>73</v>
      </c>
      <c r="I3" s="2" t="s">
        <v>108</v>
      </c>
      <c r="J3" s="13" t="s">
        <v>132</v>
      </c>
      <c r="K3" s="12">
        <v>1</v>
      </c>
      <c r="L3" s="13">
        <v>0.2</v>
      </c>
      <c r="M3" s="13">
        <v>0.2</v>
      </c>
      <c r="N3" s="13"/>
      <c r="O3" s="13">
        <v>1</v>
      </c>
      <c r="P3" s="12">
        <v>1</v>
      </c>
      <c r="Q3" s="13">
        <v>0.2</v>
      </c>
      <c r="R3" s="13">
        <v>0.2</v>
      </c>
      <c r="S3" s="13"/>
    </row>
    <row r="4" spans="1:19" x14ac:dyDescent="0.35">
      <c r="A4" s="7" t="s">
        <v>0</v>
      </c>
      <c r="B4" s="7" t="s">
        <v>31</v>
      </c>
      <c r="C4" s="7" t="s">
        <v>42</v>
      </c>
      <c r="D4" s="7" t="s">
        <v>60</v>
      </c>
      <c r="E4" s="8" t="s">
        <v>82</v>
      </c>
      <c r="F4" s="8" t="s">
        <v>73</v>
      </c>
      <c r="G4" s="8">
        <v>1</v>
      </c>
      <c r="H4" s="8" t="s">
        <v>107</v>
      </c>
      <c r="I4" s="9" t="s">
        <v>65</v>
      </c>
      <c r="J4" s="13"/>
      <c r="K4" s="12">
        <v>0</v>
      </c>
      <c r="L4" s="13"/>
      <c r="M4" s="13"/>
      <c r="N4" s="13"/>
      <c r="O4" s="13"/>
      <c r="P4" s="12"/>
      <c r="Q4" s="13"/>
      <c r="R4" s="13"/>
      <c r="S4" s="13"/>
    </row>
    <row r="5" spans="1:19" ht="43.5" x14ac:dyDescent="0.35">
      <c r="A5" s="7" t="s">
        <v>2</v>
      </c>
      <c r="B5" s="7" t="s">
        <v>36</v>
      </c>
      <c r="C5" s="7" t="s">
        <v>43</v>
      </c>
      <c r="D5" s="7" t="s">
        <v>61</v>
      </c>
      <c r="E5" s="3" t="s">
        <v>83</v>
      </c>
      <c r="F5" s="3" t="s">
        <v>73</v>
      </c>
      <c r="G5" s="3">
        <v>0</v>
      </c>
      <c r="H5" s="3" t="s">
        <v>73</v>
      </c>
      <c r="I5" s="3" t="s">
        <v>109</v>
      </c>
      <c r="J5" s="16" t="s">
        <v>129</v>
      </c>
      <c r="K5" s="12">
        <v>2</v>
      </c>
      <c r="L5" s="13">
        <v>1.2</v>
      </c>
      <c r="M5" s="13" t="s">
        <v>130</v>
      </c>
      <c r="N5" s="13" t="s">
        <v>150</v>
      </c>
      <c r="O5" s="16"/>
      <c r="P5" s="12"/>
      <c r="Q5" s="13"/>
      <c r="R5" s="13"/>
      <c r="S5" s="13"/>
    </row>
    <row r="6" spans="1:19" x14ac:dyDescent="0.35">
      <c r="A6" s="7" t="s">
        <v>3</v>
      </c>
      <c r="B6" s="7" t="s">
        <v>30</v>
      </c>
      <c r="C6" s="7" t="s">
        <v>44</v>
      </c>
      <c r="D6" s="7" t="s">
        <v>61</v>
      </c>
      <c r="E6" s="3" t="s">
        <v>84</v>
      </c>
      <c r="F6" s="3" t="s">
        <v>73</v>
      </c>
      <c r="G6" s="3">
        <v>1</v>
      </c>
      <c r="H6" s="3" t="s">
        <v>73</v>
      </c>
      <c r="I6" s="3" t="s">
        <v>66</v>
      </c>
      <c r="J6" s="16"/>
      <c r="K6" s="12">
        <v>0</v>
      </c>
      <c r="L6" s="13"/>
      <c r="M6" s="13"/>
      <c r="N6" s="13"/>
      <c r="O6" s="16"/>
      <c r="P6" s="12"/>
      <c r="Q6" s="13"/>
      <c r="R6" s="13"/>
      <c r="S6" s="13"/>
    </row>
    <row r="7" spans="1:19" ht="29" x14ac:dyDescent="0.35">
      <c r="A7" s="7" t="s">
        <v>4</v>
      </c>
      <c r="B7" s="7" t="s">
        <v>32</v>
      </c>
      <c r="C7" s="7" t="s">
        <v>45</v>
      </c>
      <c r="D7" s="7" t="s">
        <v>61</v>
      </c>
      <c r="E7" s="3" t="s">
        <v>85</v>
      </c>
      <c r="F7" s="3" t="s">
        <v>73</v>
      </c>
      <c r="G7" s="3">
        <v>1</v>
      </c>
      <c r="H7" s="3" t="s">
        <v>73</v>
      </c>
      <c r="I7" s="2" t="s">
        <v>78</v>
      </c>
      <c r="J7" s="13" t="s">
        <v>119</v>
      </c>
      <c r="K7" s="12">
        <v>1</v>
      </c>
      <c r="L7" s="13">
        <v>0.5</v>
      </c>
      <c r="M7" s="13">
        <v>0.5</v>
      </c>
      <c r="N7" s="13" t="s">
        <v>144</v>
      </c>
      <c r="O7" s="13" t="s">
        <v>119</v>
      </c>
      <c r="P7" s="12">
        <v>1</v>
      </c>
      <c r="Q7" s="13">
        <v>0.2</v>
      </c>
      <c r="R7" s="13">
        <v>0.2</v>
      </c>
      <c r="S7" s="13" t="s">
        <v>158</v>
      </c>
    </row>
    <row r="8" spans="1:19" x14ac:dyDescent="0.35">
      <c r="A8" s="7" t="s">
        <v>5</v>
      </c>
      <c r="B8" s="7" t="s">
        <v>31</v>
      </c>
      <c r="C8" s="7" t="s">
        <v>45</v>
      </c>
      <c r="D8" s="7" t="s">
        <v>61</v>
      </c>
      <c r="E8" s="8" t="s">
        <v>86</v>
      </c>
      <c r="F8" s="8" t="s">
        <v>73</v>
      </c>
      <c r="G8" s="8">
        <v>1</v>
      </c>
      <c r="H8" s="8" t="s">
        <v>107</v>
      </c>
      <c r="I8" s="8" t="s">
        <v>67</v>
      </c>
      <c r="J8" s="16"/>
      <c r="K8" s="12">
        <v>0</v>
      </c>
      <c r="L8" s="13"/>
      <c r="M8" s="13"/>
      <c r="N8" s="13"/>
      <c r="O8" s="16"/>
      <c r="P8" s="12"/>
      <c r="Q8" s="13"/>
      <c r="R8" s="13"/>
      <c r="S8" s="13"/>
    </row>
    <row r="9" spans="1:19" ht="29" x14ac:dyDescent="0.35">
      <c r="A9" s="7" t="s">
        <v>6</v>
      </c>
      <c r="B9" s="7" t="s">
        <v>33</v>
      </c>
      <c r="C9" s="7" t="s">
        <v>46</v>
      </c>
      <c r="D9" s="7" t="s">
        <v>61</v>
      </c>
      <c r="E9" s="3" t="s">
        <v>87</v>
      </c>
      <c r="F9" s="3" t="s">
        <v>73</v>
      </c>
      <c r="G9" s="3">
        <v>0</v>
      </c>
      <c r="H9" s="3" t="s">
        <v>73</v>
      </c>
      <c r="I9" s="2" t="s">
        <v>110</v>
      </c>
      <c r="J9" s="13" t="s">
        <v>126</v>
      </c>
      <c r="K9" s="12">
        <v>1</v>
      </c>
      <c r="L9" s="13">
        <v>1</v>
      </c>
      <c r="M9" s="13">
        <v>1</v>
      </c>
      <c r="N9" s="13" t="s">
        <v>148</v>
      </c>
      <c r="O9" s="13" t="s">
        <v>126</v>
      </c>
      <c r="P9" s="12">
        <v>1</v>
      </c>
      <c r="Q9" s="13">
        <v>1</v>
      </c>
      <c r="R9" s="13">
        <v>1</v>
      </c>
      <c r="S9" s="1" t="s">
        <v>159</v>
      </c>
    </row>
    <row r="10" spans="1:19" ht="43.5" x14ac:dyDescent="0.35">
      <c r="A10" s="7" t="s">
        <v>7</v>
      </c>
      <c r="B10" s="7" t="s">
        <v>33</v>
      </c>
      <c r="C10" s="7" t="s">
        <v>58</v>
      </c>
      <c r="D10" s="7" t="s">
        <v>61</v>
      </c>
      <c r="E10" s="3" t="s">
        <v>88</v>
      </c>
      <c r="F10" s="3" t="s">
        <v>73</v>
      </c>
      <c r="G10" s="3">
        <v>1</v>
      </c>
      <c r="H10" s="3" t="s">
        <v>73</v>
      </c>
      <c r="I10" s="2" t="s">
        <v>111</v>
      </c>
      <c r="J10" s="13"/>
      <c r="K10" s="12">
        <v>0</v>
      </c>
      <c r="L10" s="13"/>
      <c r="M10" s="13"/>
      <c r="N10" s="13"/>
      <c r="O10" s="13"/>
      <c r="P10" s="12"/>
      <c r="Q10" s="13"/>
      <c r="R10" s="13"/>
      <c r="S10" s="13"/>
    </row>
    <row r="11" spans="1:19" ht="29" x14ac:dyDescent="0.35">
      <c r="A11" s="7" t="s">
        <v>8</v>
      </c>
      <c r="B11" s="7" t="s">
        <v>31</v>
      </c>
      <c r="C11" s="7" t="s">
        <v>62</v>
      </c>
      <c r="D11" s="7" t="s">
        <v>61</v>
      </c>
      <c r="E11" s="3" t="s">
        <v>89</v>
      </c>
      <c r="F11" s="3" t="s">
        <v>73</v>
      </c>
      <c r="G11" s="3">
        <v>1</v>
      </c>
      <c r="H11" s="3" t="s">
        <v>73</v>
      </c>
      <c r="I11" s="2" t="s">
        <v>112</v>
      </c>
      <c r="J11" s="13"/>
      <c r="K11" s="12">
        <v>0</v>
      </c>
      <c r="L11" s="13"/>
      <c r="M11" s="13"/>
      <c r="N11" s="13"/>
      <c r="O11" s="13"/>
      <c r="P11" s="12"/>
      <c r="Q11" s="13"/>
      <c r="R11" s="13"/>
      <c r="S11" s="13"/>
    </row>
    <row r="12" spans="1:19" ht="29" x14ac:dyDescent="0.35">
      <c r="A12" s="7" t="s">
        <v>34</v>
      </c>
      <c r="B12" s="7" t="s">
        <v>31</v>
      </c>
      <c r="C12" s="7"/>
      <c r="D12" s="7"/>
      <c r="E12" s="3" t="s">
        <v>90</v>
      </c>
      <c r="F12" s="3" t="s">
        <v>73</v>
      </c>
      <c r="G12" s="3"/>
      <c r="H12" s="3" t="s">
        <v>73</v>
      </c>
      <c r="I12" s="3" t="s">
        <v>68</v>
      </c>
      <c r="J12" s="16"/>
      <c r="K12" s="12">
        <v>0</v>
      </c>
      <c r="L12" s="13"/>
      <c r="M12" s="13"/>
      <c r="N12" s="13"/>
      <c r="O12" s="16"/>
      <c r="P12" s="12"/>
      <c r="Q12" s="13"/>
      <c r="R12" s="13"/>
      <c r="S12" s="13"/>
    </row>
    <row r="13" spans="1:19" ht="58" x14ac:dyDescent="0.35">
      <c r="A13" s="7" t="s">
        <v>9</v>
      </c>
      <c r="B13" s="7" t="s">
        <v>35</v>
      </c>
      <c r="C13" s="7" t="s">
        <v>57</v>
      </c>
      <c r="D13" s="7" t="s">
        <v>63</v>
      </c>
      <c r="E13" s="3" t="s">
        <v>91</v>
      </c>
      <c r="F13" s="3" t="s">
        <v>73</v>
      </c>
      <c r="G13" s="3">
        <v>0</v>
      </c>
      <c r="H13" s="3" t="s">
        <v>73</v>
      </c>
      <c r="I13" s="3" t="s">
        <v>122</v>
      </c>
      <c r="J13" s="16" t="s">
        <v>125</v>
      </c>
      <c r="K13" s="12">
        <v>2</v>
      </c>
      <c r="L13" s="13">
        <v>1.2</v>
      </c>
      <c r="M13" s="13" t="s">
        <v>131</v>
      </c>
      <c r="N13" s="13" t="s">
        <v>147</v>
      </c>
      <c r="O13" s="16" t="s">
        <v>121</v>
      </c>
      <c r="P13" s="12">
        <v>1</v>
      </c>
      <c r="Q13" s="13">
        <v>0.6</v>
      </c>
      <c r="R13" s="13">
        <v>0.6</v>
      </c>
      <c r="S13" s="13" t="s">
        <v>160</v>
      </c>
    </row>
    <row r="14" spans="1:19" ht="25" customHeight="1" x14ac:dyDescent="0.35">
      <c r="A14" s="5" t="s">
        <v>24</v>
      </c>
      <c r="B14" s="6"/>
      <c r="C14" s="6"/>
      <c r="D14" s="6"/>
      <c r="E14" s="5" t="s">
        <v>24</v>
      </c>
      <c r="F14" s="6"/>
      <c r="G14" s="6"/>
      <c r="H14" s="6"/>
      <c r="I14" s="6"/>
      <c r="J14" s="15"/>
      <c r="K14" s="6"/>
      <c r="L14" s="15"/>
      <c r="M14" s="15"/>
      <c r="N14" s="15"/>
      <c r="O14" s="15"/>
      <c r="P14" s="6"/>
      <c r="Q14" s="15"/>
      <c r="R14" s="15"/>
      <c r="S14" s="15"/>
    </row>
    <row r="15" spans="1:19" ht="130.5" x14ac:dyDescent="0.35">
      <c r="A15" s="7" t="s">
        <v>10</v>
      </c>
      <c r="B15" s="7" t="s">
        <v>35</v>
      </c>
      <c r="C15" s="7" t="s">
        <v>47</v>
      </c>
      <c r="D15" s="7" t="s">
        <v>61</v>
      </c>
      <c r="E15" s="3" t="s">
        <v>92</v>
      </c>
      <c r="F15" s="3" t="s">
        <v>73</v>
      </c>
      <c r="G15" s="3">
        <v>1</v>
      </c>
      <c r="H15" s="3" t="s">
        <v>73</v>
      </c>
      <c r="I15" s="3" t="s">
        <v>115</v>
      </c>
      <c r="J15" s="16" t="s">
        <v>120</v>
      </c>
      <c r="K15" s="12">
        <v>1</v>
      </c>
      <c r="L15" s="13">
        <v>0.5</v>
      </c>
      <c r="M15" s="13">
        <v>0.5</v>
      </c>
      <c r="N15" s="13" t="s">
        <v>145</v>
      </c>
      <c r="O15" s="22"/>
      <c r="P15" s="29"/>
      <c r="Q15" s="23"/>
      <c r="R15" s="23"/>
      <c r="S15" s="23"/>
    </row>
    <row r="16" spans="1:19" ht="29" x14ac:dyDescent="0.35">
      <c r="A16" s="7" t="s">
        <v>11</v>
      </c>
      <c r="B16" s="7" t="s">
        <v>35</v>
      </c>
      <c r="C16" s="7" t="s">
        <v>47</v>
      </c>
      <c r="D16" s="7" t="s">
        <v>63</v>
      </c>
      <c r="E16" s="3" t="s">
        <v>93</v>
      </c>
      <c r="F16" s="3" t="s">
        <v>73</v>
      </c>
      <c r="G16" s="3">
        <v>1</v>
      </c>
      <c r="H16" s="3" t="s">
        <v>73</v>
      </c>
      <c r="I16" s="2" t="s">
        <v>123</v>
      </c>
      <c r="J16" s="13" t="s">
        <v>124</v>
      </c>
      <c r="K16" s="12">
        <v>1</v>
      </c>
      <c r="L16" s="13">
        <v>1</v>
      </c>
      <c r="M16" s="13">
        <v>1</v>
      </c>
      <c r="N16" s="13" t="s">
        <v>146</v>
      </c>
      <c r="O16" s="23"/>
      <c r="P16" s="29"/>
      <c r="Q16" s="23"/>
      <c r="R16" s="23"/>
      <c r="S16" s="23"/>
    </row>
    <row r="17" spans="1:22" ht="43.5" x14ac:dyDescent="0.35">
      <c r="A17" s="7" t="s">
        <v>12</v>
      </c>
      <c r="B17" s="7" t="s">
        <v>35</v>
      </c>
      <c r="C17" s="7" t="s">
        <v>48</v>
      </c>
      <c r="D17" s="7"/>
      <c r="E17" s="3" t="s">
        <v>94</v>
      </c>
      <c r="F17" s="3" t="s">
        <v>73</v>
      </c>
      <c r="G17" s="3">
        <v>1</v>
      </c>
      <c r="H17" s="3" t="s">
        <v>73</v>
      </c>
      <c r="I17" s="3" t="s">
        <v>116</v>
      </c>
      <c r="J17" s="16" t="s">
        <v>138</v>
      </c>
      <c r="K17" s="12">
        <v>1</v>
      </c>
      <c r="L17" s="13">
        <v>1</v>
      </c>
      <c r="M17" s="13">
        <v>1</v>
      </c>
      <c r="N17" s="13" t="s">
        <v>152</v>
      </c>
      <c r="O17" s="22"/>
      <c r="P17" s="29"/>
      <c r="Q17" s="23"/>
      <c r="R17" s="23"/>
      <c r="S17" s="23"/>
      <c r="U17" s="25"/>
      <c r="V17" s="4" t="s">
        <v>139</v>
      </c>
    </row>
    <row r="18" spans="1:22" ht="101.5" x14ac:dyDescent="0.35">
      <c r="A18" s="7" t="s">
        <v>13</v>
      </c>
      <c r="B18" s="7" t="s">
        <v>35</v>
      </c>
      <c r="C18" s="7" t="s">
        <v>49</v>
      </c>
      <c r="D18" s="7" t="s">
        <v>60</v>
      </c>
      <c r="E18" s="3" t="s">
        <v>95</v>
      </c>
      <c r="F18" s="3" t="s">
        <v>73</v>
      </c>
      <c r="G18" s="3"/>
      <c r="H18" s="3" t="s">
        <v>73</v>
      </c>
      <c r="I18" s="2" t="s">
        <v>113</v>
      </c>
      <c r="J18" s="13" t="s">
        <v>127</v>
      </c>
      <c r="K18" s="12">
        <v>1</v>
      </c>
      <c r="L18" s="13">
        <v>0.2</v>
      </c>
      <c r="M18" s="13">
        <v>0.2</v>
      </c>
      <c r="N18" s="13"/>
      <c r="O18" s="23"/>
      <c r="P18" s="29"/>
      <c r="Q18" s="23"/>
      <c r="R18" s="23"/>
      <c r="S18" s="23"/>
    </row>
    <row r="19" spans="1:22" x14ac:dyDescent="0.35">
      <c r="A19" s="7" t="s">
        <v>14</v>
      </c>
      <c r="B19" s="7" t="s">
        <v>32</v>
      </c>
      <c r="C19" s="7" t="s">
        <v>50</v>
      </c>
      <c r="D19" s="7" t="s">
        <v>60</v>
      </c>
      <c r="E19" s="8" t="s">
        <v>96</v>
      </c>
      <c r="F19" s="8" t="s">
        <v>73</v>
      </c>
      <c r="G19" s="8">
        <v>1</v>
      </c>
      <c r="H19" s="8"/>
      <c r="I19" s="8" t="s">
        <v>67</v>
      </c>
      <c r="J19" s="16"/>
      <c r="K19" s="12"/>
      <c r="L19" s="17"/>
      <c r="M19" s="17"/>
      <c r="N19" s="17"/>
      <c r="O19" s="22"/>
      <c r="P19" s="29"/>
      <c r="Q19" s="24"/>
      <c r="R19" s="24"/>
      <c r="S19" s="24"/>
    </row>
    <row r="20" spans="1:22" ht="58" x14ac:dyDescent="0.35">
      <c r="A20" s="7" t="s">
        <v>15</v>
      </c>
      <c r="B20" s="7" t="s">
        <v>32</v>
      </c>
      <c r="C20" s="7" t="s">
        <v>51</v>
      </c>
      <c r="D20" s="7" t="s">
        <v>61</v>
      </c>
      <c r="E20" s="3" t="s">
        <v>97</v>
      </c>
      <c r="F20" s="3" t="s">
        <v>73</v>
      </c>
      <c r="G20" s="3">
        <v>1</v>
      </c>
      <c r="H20" s="3" t="s">
        <v>73</v>
      </c>
      <c r="I20" s="2" t="s">
        <v>114</v>
      </c>
      <c r="J20" s="13"/>
      <c r="K20" s="12">
        <v>0</v>
      </c>
      <c r="L20" s="13"/>
      <c r="M20" s="13"/>
      <c r="N20" s="13"/>
      <c r="O20" s="23"/>
      <c r="P20" s="29"/>
      <c r="Q20" s="23"/>
      <c r="R20" s="23"/>
      <c r="S20" s="23"/>
    </row>
    <row r="21" spans="1:22" ht="43.5" x14ac:dyDescent="0.35">
      <c r="A21" s="7" t="s">
        <v>16</v>
      </c>
      <c r="B21" s="7" t="s">
        <v>35</v>
      </c>
      <c r="C21" s="7" t="s">
        <v>52</v>
      </c>
      <c r="D21" s="7" t="s">
        <v>61</v>
      </c>
      <c r="E21" s="3" t="s">
        <v>98</v>
      </c>
      <c r="F21" s="3" t="s">
        <v>73</v>
      </c>
      <c r="G21" s="3">
        <v>0</v>
      </c>
      <c r="H21" s="3" t="s">
        <v>73</v>
      </c>
      <c r="I21" s="2" t="s">
        <v>77</v>
      </c>
      <c r="J21" s="13" t="s">
        <v>140</v>
      </c>
      <c r="K21" s="12">
        <v>1</v>
      </c>
      <c r="L21" s="13">
        <v>0.2</v>
      </c>
      <c r="M21" s="13">
        <v>0.2</v>
      </c>
      <c r="N21" s="13"/>
      <c r="O21" s="23"/>
      <c r="P21" s="29"/>
      <c r="Q21" s="23"/>
      <c r="R21" s="23"/>
      <c r="S21" s="23"/>
    </row>
    <row r="22" spans="1:22" ht="29" customHeight="1" x14ac:dyDescent="0.35">
      <c r="A22" s="5" t="s">
        <v>25</v>
      </c>
      <c r="B22" s="6"/>
      <c r="C22" s="6"/>
      <c r="D22" s="6"/>
      <c r="E22" s="5" t="s">
        <v>25</v>
      </c>
      <c r="F22" s="6"/>
      <c r="G22" s="6"/>
      <c r="H22" s="6"/>
      <c r="I22" s="6"/>
      <c r="J22" s="15"/>
      <c r="K22" s="6"/>
      <c r="L22" s="15"/>
      <c r="M22" s="15"/>
      <c r="N22" s="15"/>
      <c r="O22" s="15"/>
      <c r="P22" s="6"/>
      <c r="Q22" s="15"/>
      <c r="R22" s="15"/>
      <c r="S22" s="15"/>
    </row>
    <row r="23" spans="1:22" ht="29" x14ac:dyDescent="0.35">
      <c r="A23" s="7" t="s">
        <v>17</v>
      </c>
      <c r="B23" s="7" t="s">
        <v>33</v>
      </c>
      <c r="C23" s="7" t="s">
        <v>53</v>
      </c>
      <c r="D23" s="7" t="s">
        <v>63</v>
      </c>
      <c r="E23" s="3" t="s">
        <v>99</v>
      </c>
      <c r="F23" s="3" t="s">
        <v>73</v>
      </c>
      <c r="G23" s="3">
        <v>0</v>
      </c>
      <c r="H23" s="3" t="s">
        <v>73</v>
      </c>
      <c r="I23" s="3" t="s">
        <v>74</v>
      </c>
      <c r="J23" s="16"/>
      <c r="K23" s="12">
        <v>1</v>
      </c>
      <c r="L23" s="13"/>
      <c r="M23" s="13"/>
      <c r="N23" s="13"/>
      <c r="O23" s="16"/>
      <c r="P23" s="12"/>
      <c r="Q23" s="13"/>
      <c r="R23" s="13"/>
      <c r="S23" s="13"/>
    </row>
    <row r="24" spans="1:22" x14ac:dyDescent="0.35">
      <c r="A24" s="7" t="s">
        <v>18</v>
      </c>
      <c r="B24" s="7" t="s">
        <v>41</v>
      </c>
      <c r="C24" s="7"/>
      <c r="D24" s="7"/>
      <c r="E24" s="8" t="s">
        <v>100</v>
      </c>
      <c r="F24" s="8" t="s">
        <v>107</v>
      </c>
      <c r="G24" s="8">
        <v>0</v>
      </c>
      <c r="H24" s="8"/>
      <c r="I24" s="8"/>
      <c r="J24" s="16"/>
      <c r="K24" s="12"/>
      <c r="L24" s="16"/>
      <c r="M24" s="16"/>
      <c r="N24" s="16"/>
      <c r="O24" s="16"/>
      <c r="P24" s="12"/>
      <c r="Q24" s="16"/>
      <c r="R24" s="16"/>
      <c r="S24" s="16"/>
    </row>
    <row r="25" spans="1:22" ht="58" x14ac:dyDescent="0.35">
      <c r="A25" s="7" t="s">
        <v>19</v>
      </c>
      <c r="B25" s="7" t="s">
        <v>35</v>
      </c>
      <c r="C25" s="7" t="s">
        <v>54</v>
      </c>
      <c r="D25" s="7" t="s">
        <v>60</v>
      </c>
      <c r="E25" s="3" t="s">
        <v>101</v>
      </c>
      <c r="F25" s="3" t="s">
        <v>73</v>
      </c>
      <c r="G25" s="3">
        <v>1</v>
      </c>
      <c r="H25" s="3" t="s">
        <v>73</v>
      </c>
      <c r="I25" s="3" t="s">
        <v>79</v>
      </c>
      <c r="J25" s="16" t="s">
        <v>137</v>
      </c>
      <c r="K25" s="12">
        <v>1</v>
      </c>
      <c r="L25" s="13">
        <v>1</v>
      </c>
      <c r="M25" s="13">
        <v>1</v>
      </c>
      <c r="N25" s="4" t="s">
        <v>151</v>
      </c>
      <c r="O25" s="16"/>
      <c r="P25" s="12"/>
      <c r="Q25" s="13"/>
      <c r="R25" s="13"/>
      <c r="S25" s="7"/>
    </row>
    <row r="26" spans="1:22" ht="29" x14ac:dyDescent="0.35">
      <c r="A26" s="7" t="s">
        <v>39</v>
      </c>
      <c r="B26" s="7" t="s">
        <v>40</v>
      </c>
      <c r="C26" s="7" t="s">
        <v>56</v>
      </c>
      <c r="D26" s="7" t="s">
        <v>60</v>
      </c>
      <c r="E26" s="8" t="s">
        <v>102</v>
      </c>
      <c r="F26" s="8" t="s">
        <v>73</v>
      </c>
      <c r="G26" s="8">
        <v>1</v>
      </c>
      <c r="H26" s="8"/>
      <c r="I26" s="8" t="s">
        <v>69</v>
      </c>
      <c r="J26" s="16"/>
      <c r="K26" s="12">
        <v>0</v>
      </c>
      <c r="L26" s="13"/>
      <c r="M26" s="13"/>
      <c r="N26" s="13"/>
      <c r="O26" s="16"/>
      <c r="P26" s="12"/>
      <c r="Q26" s="13"/>
      <c r="R26" s="13"/>
      <c r="S26" s="13"/>
    </row>
    <row r="27" spans="1:22" ht="43.5" x14ac:dyDescent="0.35">
      <c r="A27" s="7" t="s">
        <v>20</v>
      </c>
      <c r="B27" s="7" t="s">
        <v>32</v>
      </c>
      <c r="C27" s="7" t="s">
        <v>54</v>
      </c>
      <c r="D27" s="7" t="s">
        <v>60</v>
      </c>
      <c r="E27" s="3" t="s">
        <v>103</v>
      </c>
      <c r="F27" s="3" t="s">
        <v>73</v>
      </c>
      <c r="G27" s="3">
        <v>0</v>
      </c>
      <c r="H27" s="3" t="s">
        <v>73</v>
      </c>
      <c r="I27" s="2" t="s">
        <v>117</v>
      </c>
      <c r="J27" s="13" t="s">
        <v>141</v>
      </c>
      <c r="K27" s="12">
        <v>2</v>
      </c>
      <c r="L27" s="13">
        <v>1.2</v>
      </c>
      <c r="M27" s="13" t="s">
        <v>131</v>
      </c>
      <c r="N27" s="13" t="s">
        <v>153</v>
      </c>
      <c r="O27" s="13" t="s">
        <v>162</v>
      </c>
      <c r="P27" s="12">
        <v>1</v>
      </c>
      <c r="Q27" s="13">
        <v>1</v>
      </c>
      <c r="R27" s="13">
        <v>1</v>
      </c>
      <c r="S27" s="7" t="s">
        <v>163</v>
      </c>
    </row>
    <row r="28" spans="1:22" x14ac:dyDescent="0.35">
      <c r="A28" s="7" t="s">
        <v>21</v>
      </c>
      <c r="B28" s="7" t="s">
        <v>32</v>
      </c>
      <c r="C28" s="7" t="s">
        <v>55</v>
      </c>
      <c r="D28" s="7" t="s">
        <v>60</v>
      </c>
      <c r="E28" s="8" t="s">
        <v>104</v>
      </c>
      <c r="F28" s="8" t="s">
        <v>73</v>
      </c>
      <c r="G28" s="8">
        <v>1</v>
      </c>
      <c r="H28" s="8"/>
      <c r="I28" s="8" t="s">
        <v>70</v>
      </c>
      <c r="J28" s="16"/>
      <c r="K28" s="12">
        <v>0</v>
      </c>
      <c r="L28" s="13"/>
      <c r="M28" s="13"/>
      <c r="N28" s="13"/>
      <c r="O28" s="16"/>
      <c r="P28" s="12"/>
      <c r="Q28" s="13"/>
      <c r="R28" s="13"/>
      <c r="S28" s="13"/>
    </row>
    <row r="29" spans="1:22" ht="58" x14ac:dyDescent="0.35">
      <c r="A29" s="7" t="s">
        <v>22</v>
      </c>
      <c r="B29" s="7" t="s">
        <v>35</v>
      </c>
      <c r="C29" s="7" t="s">
        <v>54</v>
      </c>
      <c r="D29" s="7" t="s">
        <v>60</v>
      </c>
      <c r="E29" s="3" t="s">
        <v>105</v>
      </c>
      <c r="F29" s="3" t="s">
        <v>73</v>
      </c>
      <c r="G29" s="3">
        <v>1</v>
      </c>
      <c r="H29" s="3" t="s">
        <v>73</v>
      </c>
      <c r="I29" s="3" t="s">
        <v>79</v>
      </c>
      <c r="J29" s="16"/>
      <c r="K29" s="12">
        <v>0</v>
      </c>
      <c r="L29" s="13"/>
      <c r="M29" s="13"/>
      <c r="N29" s="13"/>
      <c r="O29" s="16"/>
      <c r="P29" s="12"/>
      <c r="Q29" s="13"/>
      <c r="R29" s="13"/>
      <c r="S29" s="13"/>
    </row>
    <row r="30" spans="1:22" ht="29" x14ac:dyDescent="0.35">
      <c r="A30" s="7" t="s">
        <v>64</v>
      </c>
      <c r="B30" s="7"/>
      <c r="C30" s="7" t="s">
        <v>54</v>
      </c>
      <c r="D30" s="7" t="s">
        <v>60</v>
      </c>
      <c r="E30" s="3" t="s">
        <v>106</v>
      </c>
      <c r="F30" s="3" t="s">
        <v>73</v>
      </c>
      <c r="G30" s="3"/>
      <c r="H30" s="3" t="s">
        <v>73</v>
      </c>
      <c r="I30" s="3" t="s">
        <v>118</v>
      </c>
      <c r="J30" s="16" t="s">
        <v>128</v>
      </c>
      <c r="K30" s="12">
        <v>1</v>
      </c>
      <c r="L30" s="13">
        <v>1</v>
      </c>
      <c r="M30" s="13">
        <v>1</v>
      </c>
      <c r="N30" s="13" t="s">
        <v>149</v>
      </c>
      <c r="O30" s="16" t="s">
        <v>128</v>
      </c>
      <c r="P30" s="12">
        <v>1</v>
      </c>
      <c r="Q30" s="13">
        <v>1</v>
      </c>
      <c r="R30" s="13">
        <v>1</v>
      </c>
      <c r="S30" s="1" t="s">
        <v>161</v>
      </c>
    </row>
    <row r="31" spans="1:22" ht="26" x14ac:dyDescent="0.35">
      <c r="A31" s="7"/>
      <c r="B31" s="7"/>
      <c r="C31" s="7"/>
      <c r="D31" s="7"/>
      <c r="E31" s="7"/>
      <c r="F31" s="7"/>
      <c r="G31" s="7"/>
      <c r="H31" s="7"/>
      <c r="I31" s="7" t="s">
        <v>164</v>
      </c>
      <c r="J31" s="20"/>
      <c r="K31" s="19">
        <f>SUM(K2:K30)</f>
        <v>17</v>
      </c>
      <c r="L31" s="21">
        <f>SUM(L2:L30)</f>
        <v>10.199999999999999</v>
      </c>
      <c r="M31" s="21"/>
      <c r="N31" s="21"/>
      <c r="O31" s="20"/>
      <c r="P31" s="19">
        <f>SUM(P2:P30)</f>
        <v>6</v>
      </c>
      <c r="Q31" s="21">
        <f>SUM(Q2:Q30)</f>
        <v>4</v>
      </c>
      <c r="R31" s="21"/>
      <c r="S31" s="21"/>
    </row>
    <row r="33" spans="2:2" x14ac:dyDescent="0.35">
      <c r="B33" s="10" t="s">
        <v>38</v>
      </c>
    </row>
    <row r="34" spans="2:2" x14ac:dyDescent="0.35">
      <c r="B34" s="10" t="s">
        <v>31</v>
      </c>
    </row>
    <row r="35" spans="2:2" x14ac:dyDescent="0.35">
      <c r="B35" s="10" t="s">
        <v>33</v>
      </c>
    </row>
    <row r="36" spans="2:2" x14ac:dyDescent="0.35">
      <c r="B36" s="10" t="s">
        <v>35</v>
      </c>
    </row>
    <row r="37" spans="2:2" x14ac:dyDescent="0.35">
      <c r="B37" s="10" t="s">
        <v>32</v>
      </c>
    </row>
    <row r="38" spans="2:2" x14ac:dyDescent="0.35">
      <c r="B38" s="10" t="s">
        <v>30</v>
      </c>
    </row>
    <row r="39" spans="2:2" x14ac:dyDescent="0.35">
      <c r="B39" s="10" t="s">
        <v>37</v>
      </c>
    </row>
  </sheetData>
  <autoFilter ref="A1:S1" xr:uid="{00000000-0001-0000-0000-000000000000}"/>
  <hyperlinks>
    <hyperlink ref="I3" r:id="rId1" display="baptistelesquoy@protonmail.com" xr:uid="{19A83D2B-91CA-486A-8EA2-EC42BE6E481C}"/>
    <hyperlink ref="I9" r:id="rId2" display="jeremy.pantet@inrae.fr" xr:uid="{21A3F5E2-2AF2-4CED-BAAA-F93173121BFB}"/>
    <hyperlink ref="I11" r:id="rId3" display="clemence.ravier@inrae.fr" xr:uid="{421BB77F-813D-40F9-9367-3DEA01097EFE}"/>
    <hyperlink ref="I18" r:id="rId4" display="mailto:simon.charriere@inrae.fr" xr:uid="{13AAB406-1BCC-471A-9D85-859882E9232C}"/>
    <hyperlink ref="I27" r:id="rId5" display="ludovic.harter@ird.fr" xr:uid="{44577E2C-5EA7-47D8-9330-05D894CE96FD}"/>
    <hyperlink ref="I21" r:id="rId6" display="mailto:suzon.garnier@inrae.fr" xr:uid="{F5A695D8-6BBF-44D4-A881-A4C71600E14A}"/>
    <hyperlink ref="I7" r:id="rId7" display="wasim.ahmed@inrae.fr" xr:uid="{467A095F-E40A-470D-8A01-4CCCB4A169B2}"/>
    <hyperlink ref="I20" r:id="rId8" display="samba.diaw@esp.sn" xr:uid="{8B8CE47C-3966-442E-9891-E78474BD3228}"/>
    <hyperlink ref="I10" r:id="rId9" display="tiziano.maisonhaute@lirmm.fr" xr:uid="{1E8BFB90-51AA-45EB-884A-7CD0054DF179}"/>
    <hyperlink ref="I4" r:id="rId10" xr:uid="{C6B150E9-7B5D-4F45-B118-0F24FA2D1AA6}"/>
    <hyperlink ref="I16" r:id="rId11" display="laurent.saint-andre@inrae.fr" xr:uid="{5A9939A3-45EF-4AEC-96F3-53DF8EBC9ECD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Lenoir</dc:creator>
  <cp:lastModifiedBy>JEROME DUTRONCY</cp:lastModifiedBy>
  <dcterms:created xsi:type="dcterms:W3CDTF">2015-06-05T18:17:20Z</dcterms:created>
  <dcterms:modified xsi:type="dcterms:W3CDTF">2025-09-09T08:51:25Z</dcterms:modified>
</cp:coreProperties>
</file>